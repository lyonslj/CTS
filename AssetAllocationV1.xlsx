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13_ncr:1_{ABB2BD50-8A39-A944-87C2-A873D7D927D5}" xr6:coauthVersionLast="47" xr6:coauthVersionMax="47" xr10:uidLastSave="{00000000-0000-0000-0000-000000000000}"/>
  <bookViews>
    <workbookView xWindow="2980" yWindow="-19200" windowWidth="21280" windowHeight="18360" xr2:uid="{F7A35716-320C-6E4A-867B-6141F9FDB2BC}"/>
  </bookViews>
  <sheets>
    <sheet name="Sheet1" sheetId="1" r:id="rId1"/>
    <sheet name="Sheet2" sheetId="2" r:id="rId2"/>
  </sheets>
  <definedNames>
    <definedName name="_xlnm._FilterDatabase" localSheetId="0" hidden="1">Sheet1!$A$1:$E$200</definedName>
  </definedNames>
  <calcPr calcId="191029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1" i="1" l="1"/>
  <c r="M183" i="1" s="1"/>
  <c r="M185" i="1" s="1"/>
  <c r="D182" i="1"/>
  <c r="D183" i="1" s="1"/>
  <c r="D143" i="1" l="1"/>
  <c r="D116" i="1"/>
  <c r="D103" i="1"/>
  <c r="D101" i="1"/>
  <c r="D102" i="1"/>
  <c r="D100" i="1"/>
  <c r="D98" i="1"/>
  <c r="D96" i="1" l="1"/>
  <c r="D95" i="1"/>
  <c r="D83" i="1" l="1"/>
  <c r="D75" i="1" l="1"/>
  <c r="D72" i="1"/>
  <c r="D59" i="1"/>
  <c r="D58" i="1"/>
  <c r="D69" i="1"/>
  <c r="AA21" i="1"/>
  <c r="AA16" i="1"/>
  <c r="AA20" i="1"/>
  <c r="AA14" i="1"/>
  <c r="AA28" i="1"/>
  <c r="AA22" i="1"/>
  <c r="AA26" i="1"/>
  <c r="AA27" i="1"/>
  <c r="AA15" i="1"/>
  <c r="AA25" i="1"/>
  <c r="AA13" i="1" l="1"/>
  <c r="AB13" i="1" s="1"/>
  <c r="AA19" i="1"/>
  <c r="AB19" i="1" s="1"/>
  <c r="AA24" i="1"/>
  <c r="AB24" i="1" s="1"/>
  <c r="D48" i="1"/>
  <c r="D40" i="1" l="1"/>
  <c r="D33" i="1" l="1"/>
</calcChain>
</file>

<file path=xl/sharedStrings.xml><?xml version="1.0" encoding="utf-8"?>
<sst xmlns="http://schemas.openxmlformats.org/spreadsheetml/2006/main" count="744" uniqueCount="73">
  <si>
    <t>Instrument</t>
  </si>
  <si>
    <t>Date</t>
  </si>
  <si>
    <t>Allocation</t>
  </si>
  <si>
    <t>Unit</t>
  </si>
  <si>
    <t>BTC</t>
  </si>
  <si>
    <t>Personal</t>
  </si>
  <si>
    <t>Binance</t>
  </si>
  <si>
    <t>Paxg</t>
  </si>
  <si>
    <t>Account</t>
  </si>
  <si>
    <t>MultiSig</t>
  </si>
  <si>
    <t>Investment</t>
  </si>
  <si>
    <t>Fly</t>
  </si>
  <si>
    <t>Kag</t>
  </si>
  <si>
    <t>Kinesis</t>
  </si>
  <si>
    <t>USDT</t>
  </si>
  <si>
    <t>Mexc</t>
  </si>
  <si>
    <t>HoldingEntity</t>
  </si>
  <si>
    <t>ER</t>
  </si>
  <si>
    <t>Comment</t>
  </si>
  <si>
    <t>Mnthly fundingfor July</t>
  </si>
  <si>
    <t>Moved from PAXG to BTC</t>
  </si>
  <si>
    <t>XRP</t>
  </si>
  <si>
    <t>Switch out PAXG to XRP</t>
  </si>
  <si>
    <t>Row Labels</t>
  </si>
  <si>
    <t>Grand Total</t>
  </si>
  <si>
    <t>Column Labels</t>
  </si>
  <si>
    <t>Sum of Unit</t>
  </si>
  <si>
    <t>TRX</t>
  </si>
  <si>
    <t>ALGO</t>
  </si>
  <si>
    <t>Trezor</t>
  </si>
  <si>
    <t>Income for Aug</t>
  </si>
  <si>
    <t>USDC</t>
  </si>
  <si>
    <t>Trez10</t>
  </si>
  <si>
    <t>Trezor10</t>
  </si>
  <si>
    <t>Trezor 4</t>
  </si>
  <si>
    <t>Price</t>
  </si>
  <si>
    <t>Eth</t>
  </si>
  <si>
    <t>Sol</t>
  </si>
  <si>
    <t>Backpack</t>
  </si>
  <si>
    <t>Tsla</t>
  </si>
  <si>
    <t>Adj</t>
  </si>
  <si>
    <t>Tao</t>
  </si>
  <si>
    <t>Talisman</t>
  </si>
  <si>
    <t>Tao Ridges</t>
  </si>
  <si>
    <t>Trezor 2</t>
  </si>
  <si>
    <t>Monthly Trf</t>
  </si>
  <si>
    <t>Funding Carmen</t>
  </si>
  <si>
    <t>Funding Carmen. Mv to revo</t>
  </si>
  <si>
    <t>Avax</t>
  </si>
  <si>
    <t>KAG</t>
  </si>
  <si>
    <t>USD</t>
  </si>
  <si>
    <t>Wise</t>
  </si>
  <si>
    <t>IBKR</t>
  </si>
  <si>
    <t>BL and CL</t>
  </si>
  <si>
    <t>Left over from KVT</t>
  </si>
  <si>
    <t>Kinesis Withdrawal</t>
  </si>
  <si>
    <t>Withdrawn from Kinesis 24Sep</t>
  </si>
  <si>
    <t>Withdrawn from Kinesis 25Sep</t>
  </si>
  <si>
    <t>to Wise</t>
  </si>
  <si>
    <t>In progress</t>
  </si>
  <si>
    <t>Invest</t>
  </si>
  <si>
    <t>CL</t>
  </si>
  <si>
    <t>BL</t>
  </si>
  <si>
    <t>CL Edu</t>
  </si>
  <si>
    <t>Education</t>
  </si>
  <si>
    <t>ZAR</t>
  </si>
  <si>
    <t>KR</t>
  </si>
  <si>
    <t>Knox</t>
  </si>
  <si>
    <t>iTransact</t>
  </si>
  <si>
    <t>StandardEquities</t>
  </si>
  <si>
    <t>Oct Accts funding</t>
  </si>
  <si>
    <t>JL Bonus for Sept perf</t>
  </si>
  <si>
    <t>Mv Fly to Accounts 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</si>
</sst>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[$R-1C09]\ * #,##0.00_ ;_ [$R-1C09]\ * \-#,##0.00_ ;_ [$R-1C09]\ * &quot;-&quot;??_ ;_ @_ "/>
    <numFmt numFmtId="167" formatCode="_([$$-409]* #,##0.00_);_([$$-409]* \(#,##0.00\);_([$$-409]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wrapText="1"/>
    </xf>
    <xf numFmtId="1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Fill="1"/>
    <xf numFmtId="15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165" fontId="0" fillId="0" borderId="0" xfId="1" applyNumberFormat="1" applyFont="1"/>
    <xf numFmtId="167" fontId="0" fillId="0" borderId="1" xfId="0" applyNumberFormat="1" applyBorder="1"/>
    <xf numFmtId="166" fontId="0" fillId="0" borderId="1" xfId="0" applyNumberFormat="1" applyBorder="1"/>
    <xf numFmtId="0" fontId="0" fillId="2" borderId="0" xfId="0" applyFill="1"/>
    <xf numFmtId="0" fontId="0" fillId="3" borderId="0" xfId="0" applyFill="1"/>
    <xf numFmtId="15" fontId="0" fillId="3" borderId="0" xfId="0" applyNumberFormat="1" applyFill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3" fillId="4" borderId="0" xfId="0" applyFont="1" applyFill="1"/>
    <xf numFmtId="0" fontId="3" fillId="0" borderId="0" xfId="0" applyFont="1"/>
    <xf numFmtId="15" fontId="3" fillId="0" borderId="0" xfId="0" applyNumberFormat="1" applyFont="1"/>
    <xf numFmtId="0" fontId="0" fillId="0" borderId="0" xfId="0" applyNumberFormat="1" applyFill="1"/>
    <xf numFmtId="164" fontId="0" fillId="0" borderId="0" xfId="0" applyNumberFormat="1"/>
    <xf numFmtId="0" fontId="0" fillId="0" borderId="2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43" fontId="0" fillId="0" borderId="0" xfId="0" applyNumberFormat="1"/>
    <xf numFmtId="0" fontId="0" fillId="2" borderId="0" xfId="0" applyNumberFormat="1" applyFill="1"/>
    <xf numFmtId="2" fontId="0" fillId="6" borderId="0" xfId="0" applyNumberFormat="1" applyFill="1"/>
    <xf numFmtId="0" fontId="0" fillId="6" borderId="0" xfId="0" applyNumberFormat="1" applyFill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35">
    <dxf>
      <fill>
        <patternFill>
          <bgColor theme="0"/>
        </patternFill>
      </fill>
    </dxf>
    <dxf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alignment horizontal="center"/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numFmt numFmtId="2" formatCode="0.0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numFmt numFmtId="2" formatCode="0.00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lyons" refreshedDate="45931.470753819442" createdVersion="6" refreshedVersion="8" minRefreshableVersion="3" recordCount="212" xr:uid="{A442F069-4126-DE42-AB41-A6B82E36E03B}">
  <cacheSource type="worksheet">
    <worksheetSource ref="A1:E1048576" sheet="Sheet1"/>
  </cacheSource>
  <cacheFields count="5">
    <cacheField name="Instrument" numFmtId="0">
      <sharedItems containsBlank="1" count="18">
        <s v="BTC"/>
        <s v="Paxg"/>
        <s v="Kag"/>
        <s v="USDT"/>
        <s v="XRP"/>
        <s v="TRX"/>
        <s v="ALGO"/>
        <s v="USDC"/>
        <s v="Eth"/>
        <s v="Sol"/>
        <s v="Tsla"/>
        <s v="Tao"/>
        <s v="Tao Ridges"/>
        <s v="Avax"/>
        <s v="USD"/>
        <s v="KR"/>
        <s v="ZAR"/>
        <m/>
      </sharedItems>
    </cacheField>
    <cacheField name="Date" numFmtId="0">
      <sharedItems containsNonDate="0" containsDate="1" containsString="0" containsBlank="1" minDate="2025-06-11T00:00:00" maxDate="2025-10-02T00:00:00"/>
    </cacheField>
    <cacheField name="Allocation" numFmtId="0">
      <sharedItems containsDate="1" containsBlank="1" containsMixedTypes="1" minDate="2025-08-24T00:00:00" maxDate="2025-08-25T00:00:00" count="7">
        <s v="Personal"/>
        <s v="Account"/>
        <s v="Investment"/>
        <s v="Fly"/>
        <s v="Education"/>
        <m/>
        <d v="2025-08-24T00:00:00" u="1"/>
      </sharedItems>
    </cacheField>
    <cacheField name="Unit" numFmtId="0">
      <sharedItems containsString="0" containsBlank="1" containsNumber="1" minValue="-50797.292000000001" maxValue="3320000"/>
    </cacheField>
    <cacheField name="HoldingEntity" numFmtId="0">
      <sharedItems containsBlank="1" count="20">
        <s v="Binance"/>
        <s v="MultiSig"/>
        <s v="Kinesis"/>
        <s v="Mexc"/>
        <s v="Trezor"/>
        <s v="Trezor 4"/>
        <s v="Trezor10"/>
        <s v="Backpack"/>
        <s v="Talisman"/>
        <s v="Trezor 2"/>
        <s v="Wise"/>
        <s v="IBKR"/>
        <s v="Knox"/>
        <s v="iTransact"/>
        <s v="StandardEquities"/>
        <m/>
        <s v="Oct Accts funding" u="1"/>
        <s v="Trezor 4 Plschain" u="1"/>
        <s v="Backprop SN62 Ridges" u="1"/>
        <s v="Binanac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d v="2025-06-11T00:00:00"/>
    <x v="0"/>
    <n v="5.4670000000000003E-2"/>
    <x v="0"/>
  </r>
  <r>
    <x v="1"/>
    <d v="2025-06-11T00:00:00"/>
    <x v="1"/>
    <n v="1.903"/>
    <x v="1"/>
  </r>
  <r>
    <x v="1"/>
    <d v="2025-06-11T00:00:00"/>
    <x v="2"/>
    <n v="35.86"/>
    <x v="1"/>
  </r>
  <r>
    <x v="1"/>
    <d v="2025-06-11T00:00:00"/>
    <x v="3"/>
    <n v="0.75700000000000001"/>
    <x v="1"/>
  </r>
  <r>
    <x v="2"/>
    <d v="2025-06-11T00:00:00"/>
    <x v="2"/>
    <n v="513.36"/>
    <x v="2"/>
  </r>
  <r>
    <x v="3"/>
    <d v="2025-06-11T00:00:00"/>
    <x v="1"/>
    <n v="4655"/>
    <x v="3"/>
  </r>
  <r>
    <x v="3"/>
    <d v="2025-06-11T00:00:00"/>
    <x v="1"/>
    <n v="82"/>
    <x v="0"/>
  </r>
  <r>
    <x v="3"/>
    <d v="2025-06-11T00:00:00"/>
    <x v="2"/>
    <n v="213"/>
    <x v="0"/>
  </r>
  <r>
    <x v="3"/>
    <d v="2025-06-11T00:00:00"/>
    <x v="0"/>
    <n v="6183"/>
    <x v="0"/>
  </r>
  <r>
    <x v="0"/>
    <d v="2025-06-24T00:00:00"/>
    <x v="0"/>
    <n v="-5.4670000000000003E-2"/>
    <x v="0"/>
  </r>
  <r>
    <x v="3"/>
    <d v="2025-06-24T00:00:00"/>
    <x v="0"/>
    <n v="5741"/>
    <x v="0"/>
  </r>
  <r>
    <x v="1"/>
    <d v="2025-06-26T00:00:00"/>
    <x v="2"/>
    <n v="-10"/>
    <x v="1"/>
  </r>
  <r>
    <x v="2"/>
    <d v="2025-06-26T00:00:00"/>
    <x v="2"/>
    <n v="905.73"/>
    <x v="2"/>
  </r>
  <r>
    <x v="3"/>
    <d v="2025-07-02T00:00:00"/>
    <x v="0"/>
    <n v="-4000"/>
    <x v="0"/>
  </r>
  <r>
    <x v="1"/>
    <d v="2025-07-06T00:00:00"/>
    <x v="2"/>
    <n v="-6.58"/>
    <x v="1"/>
  </r>
  <r>
    <x v="0"/>
    <d v="2025-07-06T00:00:00"/>
    <x v="2"/>
    <n v="0.20372999999999999"/>
    <x v="0"/>
  </r>
  <r>
    <x v="1"/>
    <d v="2025-07-10T00:00:00"/>
    <x v="2"/>
    <n v="-5"/>
    <x v="1"/>
  </r>
  <r>
    <x v="0"/>
    <d v="2025-07-10T00:00:00"/>
    <x v="2"/>
    <n v="0.14499999999999999"/>
    <x v="0"/>
  </r>
  <r>
    <x v="3"/>
    <d v="2025-07-10T00:00:00"/>
    <x v="0"/>
    <n v="-7924"/>
    <x v="0"/>
  </r>
  <r>
    <x v="4"/>
    <d v="2025-07-10T00:00:00"/>
    <x v="0"/>
    <n v="3288"/>
    <x v="0"/>
  </r>
  <r>
    <x v="3"/>
    <d v="2025-07-13T00:00:00"/>
    <x v="1"/>
    <n v="-4655"/>
    <x v="3"/>
  </r>
  <r>
    <x v="4"/>
    <d v="2025-07-13T00:00:00"/>
    <x v="1"/>
    <n v="1679"/>
    <x v="3"/>
  </r>
  <r>
    <x v="1"/>
    <d v="2025-07-16T00:00:00"/>
    <x v="2"/>
    <n v="-3.9"/>
    <x v="1"/>
  </r>
  <r>
    <x v="4"/>
    <d v="2025-07-16T00:00:00"/>
    <x v="2"/>
    <n v="4424"/>
    <x v="0"/>
  </r>
  <r>
    <x v="4"/>
    <d v="2025-07-13T00:00:00"/>
    <x v="1"/>
    <n v="-1679"/>
    <x v="3"/>
  </r>
  <r>
    <x v="5"/>
    <d v="2025-07-18T00:00:00"/>
    <x v="1"/>
    <n v="16789"/>
    <x v="3"/>
  </r>
  <r>
    <x v="4"/>
    <d v="2025-07-10T00:00:00"/>
    <x v="0"/>
    <n v="-3288"/>
    <x v="0"/>
  </r>
  <r>
    <x v="3"/>
    <d v="2025-07-17T00:00:00"/>
    <x v="0"/>
    <n v="10873"/>
    <x v="0"/>
  </r>
  <r>
    <x v="4"/>
    <d v="2025-07-16T00:00:00"/>
    <x v="2"/>
    <n v="-4424"/>
    <x v="0"/>
  </r>
  <r>
    <x v="3"/>
    <d v="2025-07-17T00:00:00"/>
    <x v="2"/>
    <n v="15015"/>
    <x v="0"/>
  </r>
  <r>
    <x v="3"/>
    <d v="2025-07-18T00:00:00"/>
    <x v="2"/>
    <n v="-15015"/>
    <x v="0"/>
  </r>
  <r>
    <x v="0"/>
    <d v="2025-07-18T00:00:00"/>
    <x v="2"/>
    <n v="0.12424"/>
    <x v="0"/>
  </r>
  <r>
    <x v="0"/>
    <d v="2025-07-18T00:00:00"/>
    <x v="2"/>
    <n v="-0.34838000000000002"/>
    <x v="0"/>
  </r>
  <r>
    <x v="3"/>
    <d v="2025-07-18T00:00:00"/>
    <x v="2"/>
    <n v="40855"/>
    <x v="0"/>
  </r>
  <r>
    <x v="3"/>
    <d v="2025-07-20T00:00:00"/>
    <x v="2"/>
    <n v="-20000"/>
    <x v="0"/>
  </r>
  <r>
    <x v="4"/>
    <d v="2025-07-20T00:00:00"/>
    <x v="2"/>
    <n v="5698"/>
    <x v="0"/>
  </r>
  <r>
    <x v="3"/>
    <d v="2025-07-21T00:00:00"/>
    <x v="2"/>
    <n v="-21068"/>
    <x v="0"/>
  </r>
  <r>
    <x v="3"/>
    <d v="2025-07-21T00:00:00"/>
    <x v="0"/>
    <n v="-10873"/>
    <x v="0"/>
  </r>
  <r>
    <x v="4"/>
    <d v="2025-07-21T00:00:00"/>
    <x v="0"/>
    <n v="3128"/>
    <x v="0"/>
  </r>
  <r>
    <x v="4"/>
    <d v="2025-07-21T00:00:00"/>
    <x v="2"/>
    <n v="6000"/>
    <x v="2"/>
  </r>
  <r>
    <x v="5"/>
    <d v="2025-07-21T00:00:00"/>
    <x v="1"/>
    <n v="-16789"/>
    <x v="3"/>
  </r>
  <r>
    <x v="6"/>
    <d v="2025-07-21T00:00:00"/>
    <x v="1"/>
    <n v="17304"/>
    <x v="3"/>
  </r>
  <r>
    <x v="6"/>
    <d v="2025-07-21T00:00:00"/>
    <x v="1"/>
    <n v="-17304"/>
    <x v="3"/>
  </r>
  <r>
    <x v="3"/>
    <d v="2025-07-22T00:00:00"/>
    <x v="1"/>
    <n v="4975"/>
    <x v="3"/>
  </r>
  <r>
    <x v="4"/>
    <d v="2025-07-23T00:00:00"/>
    <x v="2"/>
    <n v="-5698"/>
    <x v="0"/>
  </r>
  <r>
    <x v="3"/>
    <d v="2025-07-23T00:00:00"/>
    <x v="2"/>
    <n v="18927"/>
    <x v="1"/>
  </r>
  <r>
    <x v="4"/>
    <d v="2025-07-23T00:00:00"/>
    <x v="0"/>
    <n v="-3128"/>
    <x v="0"/>
  </r>
  <r>
    <x v="3"/>
    <d v="2025-07-23T00:00:00"/>
    <x v="0"/>
    <n v="10418"/>
    <x v="1"/>
  </r>
  <r>
    <x v="0"/>
    <d v="2025-07-23T00:00:00"/>
    <x v="2"/>
    <n v="-0.12459000000000001"/>
    <x v="0"/>
  </r>
  <r>
    <x v="0"/>
    <d v="2025-07-23T00:00:00"/>
    <x v="2"/>
    <n v="0.12459000000000001"/>
    <x v="4"/>
  </r>
  <r>
    <x v="4"/>
    <d v="2025-07-25T00:00:00"/>
    <x v="2"/>
    <n v="-6000"/>
    <x v="2"/>
  </r>
  <r>
    <x v="4"/>
    <d v="2025-07-25T00:00:00"/>
    <x v="2"/>
    <n v="6000"/>
    <x v="4"/>
  </r>
  <r>
    <x v="0"/>
    <d v="2025-07-25T00:00:00"/>
    <x v="2"/>
    <n v="0.12459000000000001"/>
    <x v="0"/>
  </r>
  <r>
    <x v="0"/>
    <d v="2025-07-25T00:00:00"/>
    <x v="2"/>
    <n v="-0.12459000000000001"/>
    <x v="4"/>
  </r>
  <r>
    <x v="0"/>
    <d v="2025-07-25T00:00:00"/>
    <x v="2"/>
    <n v="-0.12459000000000001"/>
    <x v="0"/>
  </r>
  <r>
    <x v="3"/>
    <d v="2025-07-25T00:00:00"/>
    <x v="2"/>
    <n v="14367"/>
    <x v="0"/>
  </r>
  <r>
    <x v="3"/>
    <d v="2025-07-29T00:00:00"/>
    <x v="2"/>
    <n v="-18927"/>
    <x v="1"/>
  </r>
  <r>
    <x v="3"/>
    <d v="2025-07-29T00:00:00"/>
    <x v="0"/>
    <n v="-630"/>
    <x v="1"/>
  </r>
  <r>
    <x v="3"/>
    <d v="2025-07-29T00:00:00"/>
    <x v="2"/>
    <n v="18927"/>
    <x v="0"/>
  </r>
  <r>
    <x v="3"/>
    <d v="2025-07-29T00:00:00"/>
    <x v="0"/>
    <n v="630"/>
    <x v="0"/>
  </r>
  <r>
    <x v="1"/>
    <d v="2025-08-01T00:00:00"/>
    <x v="2"/>
    <n v="-1.1659999999999999"/>
    <x v="1"/>
  </r>
  <r>
    <x v="1"/>
    <d v="2025-08-01T00:00:00"/>
    <x v="1"/>
    <n v="1.1659999999999999"/>
    <x v="1"/>
  </r>
  <r>
    <x v="4"/>
    <d v="2025-08-04T00:00:00"/>
    <x v="2"/>
    <n v="-6000"/>
    <x v="4"/>
  </r>
  <r>
    <x v="3"/>
    <d v="2025-08-04T00:00:00"/>
    <x v="2"/>
    <n v="17965"/>
    <x v="0"/>
  </r>
  <r>
    <x v="7"/>
    <d v="2025-08-04T00:00:00"/>
    <x v="0"/>
    <n v="11594"/>
    <x v="5"/>
  </r>
  <r>
    <x v="7"/>
    <d v="2025-08-04T00:00:00"/>
    <x v="0"/>
    <n v="1996"/>
    <x v="6"/>
  </r>
  <r>
    <x v="3"/>
    <d v="2025-08-04T00:00:00"/>
    <x v="2"/>
    <n v="-26700"/>
    <x v="0"/>
  </r>
  <r>
    <x v="1"/>
    <d v="2025-08-04T00:00:00"/>
    <x v="2"/>
    <n v="7.8993700000000002"/>
    <x v="1"/>
  </r>
  <r>
    <x v="3"/>
    <d v="2025-08-05T00:00:00"/>
    <x v="2"/>
    <n v="-19489"/>
    <x v="0"/>
  </r>
  <r>
    <x v="1"/>
    <d v="2025-08-05T00:00:00"/>
    <x v="2"/>
    <n v="5.7767999999999997"/>
    <x v="1"/>
  </r>
  <r>
    <x v="3"/>
    <d v="2025-08-09T00:00:00"/>
    <x v="0"/>
    <n v="-630"/>
    <x v="0"/>
  </r>
  <r>
    <x v="8"/>
    <d v="2025-08-09T00:00:00"/>
    <x v="0"/>
    <n v="0.16"/>
    <x v="0"/>
  </r>
  <r>
    <x v="3"/>
    <d v="2025-08-09T00:00:00"/>
    <x v="2"/>
    <n v="-5070"/>
    <x v="0"/>
  </r>
  <r>
    <x v="8"/>
    <d v="2025-08-09T00:00:00"/>
    <x v="2"/>
    <n v="1.2965"/>
    <x v="0"/>
  </r>
  <r>
    <x v="3"/>
    <d v="2025-08-09T00:00:00"/>
    <x v="1"/>
    <n v="-4975"/>
    <x v="3"/>
  </r>
  <r>
    <x v="8"/>
    <d v="2025-08-09T00:00:00"/>
    <x v="1"/>
    <n v="1.17"/>
    <x v="3"/>
  </r>
  <r>
    <x v="7"/>
    <d v="2025-08-10T00:00:00"/>
    <x v="0"/>
    <n v="-11594"/>
    <x v="5"/>
  </r>
  <r>
    <x v="8"/>
    <d v="2025-08-10T00:00:00"/>
    <x v="0"/>
    <n v="2.79"/>
    <x v="5"/>
  </r>
  <r>
    <x v="1"/>
    <d v="2025-08-10T00:00:00"/>
    <x v="2"/>
    <n v="-4"/>
    <x v="1"/>
  </r>
  <r>
    <x v="1"/>
    <d v="2025-08-10T00:00:00"/>
    <x v="2"/>
    <n v="4"/>
    <x v="0"/>
  </r>
  <r>
    <x v="1"/>
    <d v="2025-08-10T00:00:00"/>
    <x v="2"/>
    <n v="-4"/>
    <x v="0"/>
  </r>
  <r>
    <x v="8"/>
    <d v="2025-08-10T00:00:00"/>
    <x v="2"/>
    <n v="3.2076000000000002"/>
    <x v="0"/>
  </r>
  <r>
    <x v="1"/>
    <d v="2025-08-15T00:00:00"/>
    <x v="2"/>
    <n v="-9"/>
    <x v="1"/>
  </r>
  <r>
    <x v="1"/>
    <d v="2025-08-15T00:00:00"/>
    <x v="2"/>
    <n v="9"/>
    <x v="0"/>
  </r>
  <r>
    <x v="8"/>
    <d v="2025-08-12T00:00:00"/>
    <x v="2"/>
    <n v="3.0139999999999998"/>
    <x v="0"/>
  </r>
  <r>
    <x v="1"/>
    <d v="2025-08-12T00:00:00"/>
    <x v="2"/>
    <n v="-4"/>
    <x v="0"/>
  </r>
  <r>
    <x v="1"/>
    <d v="2025-08-15T00:00:00"/>
    <x v="2"/>
    <n v="-5"/>
    <x v="0"/>
  </r>
  <r>
    <x v="1"/>
    <d v="2025-08-15T00:00:00"/>
    <x v="2"/>
    <n v="-4"/>
    <x v="0"/>
  </r>
  <r>
    <x v="8"/>
    <d v="2025-08-15T00:00:00"/>
    <x v="2"/>
    <n v="3.59"/>
    <x v="0"/>
  </r>
  <r>
    <x v="8"/>
    <d v="2025-08-15T00:00:00"/>
    <x v="2"/>
    <n v="-7.67"/>
    <x v="0"/>
  </r>
  <r>
    <x v="8"/>
    <d v="2025-08-15T00:00:00"/>
    <x v="2"/>
    <n v="6.62"/>
    <x v="0"/>
  </r>
  <r>
    <x v="8"/>
    <d v="2025-08-19T00:00:00"/>
    <x v="2"/>
    <n v="-10.0581"/>
    <x v="0"/>
  </r>
  <r>
    <x v="8"/>
    <d v="2025-08-19T00:00:00"/>
    <x v="0"/>
    <n v="-0.16"/>
    <x v="0"/>
  </r>
  <r>
    <x v="3"/>
    <d v="2025-08-19T00:00:00"/>
    <x v="2"/>
    <n v="42244.02"/>
    <x v="0"/>
  </r>
  <r>
    <x v="3"/>
    <d v="2025-08-19T00:00:00"/>
    <x v="0"/>
    <n v="672"/>
    <x v="0"/>
  </r>
  <r>
    <x v="3"/>
    <d v="2025-08-24T00:00:00"/>
    <x v="2"/>
    <n v="-20000"/>
    <x v="0"/>
  </r>
  <r>
    <x v="9"/>
    <d v="2025-08-24T00:00:00"/>
    <x v="2"/>
    <n v="95.472431999999998"/>
    <x v="0"/>
  </r>
  <r>
    <x v="3"/>
    <d v="2025-08-24T00:00:00"/>
    <x v="2"/>
    <n v="-20000"/>
    <x v="0"/>
  </r>
  <r>
    <x v="1"/>
    <d v="2025-08-24T00:00:00"/>
    <x v="2"/>
    <n v="5.9422518000000002"/>
    <x v="0"/>
  </r>
  <r>
    <x v="9"/>
    <d v="2025-08-24T00:00:00"/>
    <x v="2"/>
    <n v="-47.736215999999999"/>
    <x v="0"/>
  </r>
  <r>
    <x v="9"/>
    <d v="2025-08-24T00:00:00"/>
    <x v="2"/>
    <n v="47.736215999999999"/>
    <x v="7"/>
  </r>
  <r>
    <x v="9"/>
    <d v="2025-08-24T00:00:00"/>
    <x v="2"/>
    <n v="-47.736215999999999"/>
    <x v="7"/>
  </r>
  <r>
    <x v="7"/>
    <d v="2025-08-24T00:00:00"/>
    <x v="2"/>
    <n v="8336"/>
    <x v="7"/>
  </r>
  <r>
    <x v="10"/>
    <d v="2025-08-24T00:00:00"/>
    <x v="2"/>
    <n v="4.4000000000000004"/>
    <x v="4"/>
  </r>
  <r>
    <x v="1"/>
    <d v="2025-08-12T00:00:00"/>
    <x v="2"/>
    <n v="-4"/>
    <x v="1"/>
  </r>
  <r>
    <x v="1"/>
    <d v="2025-08-12T00:00:00"/>
    <x v="2"/>
    <n v="4"/>
    <x v="0"/>
  </r>
  <r>
    <x v="3"/>
    <d v="2025-08-12T00:00:00"/>
    <x v="2"/>
    <n v="17756"/>
    <x v="0"/>
  </r>
  <r>
    <x v="8"/>
    <d v="2025-08-25T00:00:00"/>
    <x v="1"/>
    <n v="-1.17"/>
    <x v="3"/>
  </r>
  <r>
    <x v="3"/>
    <d v="2025-08-25T00:00:00"/>
    <x v="1"/>
    <n v="5386"/>
    <x v="3"/>
  </r>
  <r>
    <x v="8"/>
    <d v="2025-08-25T00:00:00"/>
    <x v="0"/>
    <n v="-2.79"/>
    <x v="5"/>
  </r>
  <r>
    <x v="3"/>
    <d v="2025-08-25T00:00:00"/>
    <x v="0"/>
    <n v="12827"/>
    <x v="5"/>
  </r>
  <r>
    <x v="3"/>
    <d v="2025-08-26T00:00:00"/>
    <x v="2"/>
    <n v="-20000"/>
    <x v="0"/>
  </r>
  <r>
    <x v="3"/>
    <d v="2025-08-26T00:00:00"/>
    <x v="2"/>
    <n v="20000"/>
    <x v="1"/>
  </r>
  <r>
    <x v="7"/>
    <d v="2025-08-26T00:00:00"/>
    <x v="2"/>
    <n v="-8336"/>
    <x v="7"/>
  </r>
  <r>
    <x v="10"/>
    <d v="2025-08-26T00:00:00"/>
    <x v="2"/>
    <n v="22.200000000000003"/>
    <x v="4"/>
  </r>
  <r>
    <x v="3"/>
    <d v="2025-08-28T00:00:00"/>
    <x v="1"/>
    <n v="-5386"/>
    <x v="3"/>
  </r>
  <r>
    <x v="9"/>
    <d v="2025-08-28T00:00:00"/>
    <x v="1"/>
    <n v="25.07"/>
    <x v="3"/>
  </r>
  <r>
    <x v="3"/>
    <d v="2025-08-28T00:00:00"/>
    <x v="0"/>
    <n v="-5600"/>
    <x v="5"/>
  </r>
  <r>
    <x v="11"/>
    <d v="2025-08-28T00:00:00"/>
    <x v="0"/>
    <n v="16.72"/>
    <x v="3"/>
  </r>
  <r>
    <x v="11"/>
    <d v="2025-08-28T00:00:00"/>
    <x v="0"/>
    <n v="-16.72"/>
    <x v="3"/>
  </r>
  <r>
    <x v="11"/>
    <d v="2025-08-28T00:00:00"/>
    <x v="0"/>
    <n v="16.72"/>
    <x v="8"/>
  </r>
  <r>
    <x v="11"/>
    <d v="2025-08-28T00:00:00"/>
    <x v="0"/>
    <n v="-8.35"/>
    <x v="8"/>
  </r>
  <r>
    <x v="12"/>
    <d v="2025-08-28T00:00:00"/>
    <x v="0"/>
    <n v="8.35"/>
    <x v="8"/>
  </r>
  <r>
    <x v="11"/>
    <d v="2025-08-29T00:00:00"/>
    <x v="0"/>
    <n v="-8.3699999999999992"/>
    <x v="8"/>
  </r>
  <r>
    <x v="12"/>
    <d v="2025-08-29T00:00:00"/>
    <x v="0"/>
    <n v="8.35"/>
    <x v="8"/>
  </r>
  <r>
    <x v="9"/>
    <d v="2025-08-30T00:00:00"/>
    <x v="2"/>
    <n v="-47.736215999999999"/>
    <x v="0"/>
  </r>
  <r>
    <x v="3"/>
    <d v="2025-08-30T00:00:00"/>
    <x v="2"/>
    <n v="9850"/>
    <x v="0"/>
  </r>
  <r>
    <x v="9"/>
    <d v="2025-08-30T00:00:00"/>
    <x v="1"/>
    <n v="-25.07"/>
    <x v="3"/>
  </r>
  <r>
    <x v="3"/>
    <d v="2025-08-30T00:00:00"/>
    <x v="1"/>
    <n v="5165"/>
    <x v="3"/>
  </r>
  <r>
    <x v="3"/>
    <d v="2025-08-30T00:00:00"/>
    <x v="0"/>
    <n v="-7227"/>
    <x v="5"/>
  </r>
  <r>
    <x v="1"/>
    <d v="2025-08-30T00:00:00"/>
    <x v="0"/>
    <n v="2.1"/>
    <x v="9"/>
  </r>
  <r>
    <x v="3"/>
    <d v="2025-08-30T00:00:00"/>
    <x v="1"/>
    <n v="-5165"/>
    <x v="3"/>
  </r>
  <r>
    <x v="1"/>
    <d v="2025-08-30T00:00:00"/>
    <x v="1"/>
    <n v="1.4930000000000001"/>
    <x v="3"/>
  </r>
  <r>
    <x v="3"/>
    <d v="2025-08-30T00:00:00"/>
    <x v="2"/>
    <n v="-9850"/>
    <x v="0"/>
  </r>
  <r>
    <x v="1"/>
    <d v="2025-08-30T00:00:00"/>
    <x v="2"/>
    <n v="2.8740000000000001"/>
    <x v="0"/>
  </r>
  <r>
    <x v="1"/>
    <d v="2025-08-30T00:00:00"/>
    <x v="0"/>
    <n v="-1.4450000000000001"/>
    <x v="9"/>
  </r>
  <r>
    <x v="1"/>
    <d v="2025-08-30T00:00:00"/>
    <x v="2"/>
    <n v="1.4450000000000001"/>
    <x v="9"/>
  </r>
  <r>
    <x v="3"/>
    <d v="2025-08-30T00:00:00"/>
    <x v="2"/>
    <n v="-5000"/>
    <x v="1"/>
  </r>
  <r>
    <x v="3"/>
    <d v="2025-08-30T00:00:00"/>
    <x v="0"/>
    <n v="5000"/>
    <x v="1"/>
  </r>
  <r>
    <x v="3"/>
    <d v="2025-08-30T00:00:00"/>
    <x v="0"/>
    <n v="-5000"/>
    <x v="1"/>
  </r>
  <r>
    <x v="12"/>
    <d v="2025-08-30T00:00:00"/>
    <x v="0"/>
    <n v="15.44"/>
    <x v="8"/>
  </r>
  <r>
    <x v="12"/>
    <d v="2025-09-06T00:00:00"/>
    <x v="0"/>
    <n v="-32.14"/>
    <x v="8"/>
  </r>
  <r>
    <x v="3"/>
    <d v="2025-09-06T00:00:00"/>
    <x v="0"/>
    <n v="9998"/>
    <x v="3"/>
  </r>
  <r>
    <x v="3"/>
    <d v="2025-09-08T00:00:00"/>
    <x v="0"/>
    <n v="-4000"/>
    <x v="1"/>
  </r>
  <r>
    <x v="3"/>
    <d v="2025-09-08T00:00:00"/>
    <x v="1"/>
    <n v="4000"/>
    <x v="1"/>
  </r>
  <r>
    <x v="3"/>
    <d v="2025-09-09T00:00:00"/>
    <x v="0"/>
    <n v="-9998"/>
    <x v="3"/>
  </r>
  <r>
    <x v="9"/>
    <d v="2025-09-09T00:00:00"/>
    <x v="0"/>
    <n v="45.756"/>
    <x v="3"/>
  </r>
  <r>
    <x v="1"/>
    <d v="2025-09-09T00:00:00"/>
    <x v="2"/>
    <n v="-5.48"/>
    <x v="0"/>
  </r>
  <r>
    <x v="9"/>
    <d v="2025-09-09T00:00:00"/>
    <x v="2"/>
    <n v="91.194999999999993"/>
    <x v="0"/>
  </r>
  <r>
    <x v="10"/>
    <d v="2025-09-09T00:00:00"/>
    <x v="2"/>
    <n v="-26.6"/>
    <x v="4"/>
  </r>
  <r>
    <x v="9"/>
    <d v="2025-09-09T00:00:00"/>
    <x v="2"/>
    <n v="45.4"/>
    <x v="7"/>
  </r>
  <r>
    <x v="1"/>
    <d v="2025-09-10T00:00:00"/>
    <x v="2"/>
    <n v="-3.3363"/>
    <x v="0"/>
  </r>
  <r>
    <x v="9"/>
    <d v="2025-09-10T00:00:00"/>
    <x v="2"/>
    <n v="54.341000000000001"/>
    <x v="0"/>
  </r>
  <r>
    <x v="3"/>
    <d v="2025-09-10T00:00:00"/>
    <x v="2"/>
    <n v="-10000"/>
    <x v="1"/>
  </r>
  <r>
    <x v="9"/>
    <d v="2025-09-10T00:00:00"/>
    <x v="2"/>
    <n v="44.53"/>
    <x v="0"/>
  </r>
  <r>
    <x v="7"/>
    <d v="2025-09-11T00:00:00"/>
    <x v="0"/>
    <n v="-1996"/>
    <x v="6"/>
  </r>
  <r>
    <x v="3"/>
    <d v="2025-09-11T00:00:00"/>
    <x v="1"/>
    <n v="-1900"/>
    <x v="1"/>
  </r>
  <r>
    <x v="3"/>
    <d v="2025-09-11T00:00:00"/>
    <x v="0"/>
    <n v="1900"/>
    <x v="1"/>
  </r>
  <r>
    <x v="3"/>
    <d v="2025-09-12T00:00:00"/>
    <x v="1"/>
    <n v="-2000"/>
    <x v="1"/>
  </r>
  <r>
    <x v="3"/>
    <d v="2025-09-12T00:00:00"/>
    <x v="2"/>
    <n v="-5000"/>
    <x v="1"/>
  </r>
  <r>
    <x v="3"/>
    <d v="2025-09-12T00:00:00"/>
    <x v="0"/>
    <n v="-7000"/>
    <x v="1"/>
  </r>
  <r>
    <x v="9"/>
    <d v="2025-09-12T00:00:00"/>
    <x v="1"/>
    <n v="8.3699999999999992"/>
    <x v="3"/>
  </r>
  <r>
    <x v="9"/>
    <d v="2025-09-12T00:00:00"/>
    <x v="2"/>
    <n v="20.93"/>
    <x v="3"/>
  </r>
  <r>
    <x v="9"/>
    <d v="2025-09-12T00:00:00"/>
    <x v="0"/>
    <n v="29.31"/>
    <x v="3"/>
  </r>
  <r>
    <x v="9"/>
    <d v="2025-09-18T00:00:00"/>
    <x v="2"/>
    <n v="-100"/>
    <x v="0"/>
  </r>
  <r>
    <x v="13"/>
    <d v="2025-09-18T00:00:00"/>
    <x v="2"/>
    <n v="747.63"/>
    <x v="0"/>
  </r>
  <r>
    <x v="13"/>
    <d v="2025-09-22T00:00:00"/>
    <x v="2"/>
    <n v="-747.63"/>
    <x v="0"/>
  </r>
  <r>
    <x v="3"/>
    <d v="2025-09-22T00:00:00"/>
    <x v="2"/>
    <n v="22690"/>
    <x v="0"/>
  </r>
  <r>
    <x v="9"/>
    <d v="2025-09-18T00:00:00"/>
    <x v="2"/>
    <n v="-90.066000000000003"/>
    <x v="0"/>
  </r>
  <r>
    <x v="3"/>
    <d v="2025-09-18T00:00:00"/>
    <x v="2"/>
    <n v="20443"/>
    <x v="0"/>
  </r>
  <r>
    <x v="2"/>
    <d v="2025-09-22T00:00:00"/>
    <x v="2"/>
    <n v="-269.83"/>
    <x v="2"/>
  </r>
  <r>
    <x v="9"/>
    <d v="2025-09-18T00:00:00"/>
    <x v="0"/>
    <n v="-75.066000000000003"/>
    <x v="3"/>
  </r>
  <r>
    <x v="9"/>
    <d v="2025-09-18T00:00:00"/>
    <x v="2"/>
    <n v="-20.93"/>
    <x v="3"/>
  </r>
  <r>
    <x v="9"/>
    <d v="2025-09-18T00:00:00"/>
    <x v="1"/>
    <n v="-8.3699999999999992"/>
    <x v="3"/>
  </r>
  <r>
    <x v="3"/>
    <d v="2025-09-18T00:00:00"/>
    <x v="0"/>
    <n v="17039"/>
    <x v="3"/>
  </r>
  <r>
    <x v="3"/>
    <d v="2025-09-18T00:00:00"/>
    <x v="2"/>
    <n v="4751"/>
    <x v="3"/>
  </r>
  <r>
    <x v="3"/>
    <d v="2025-09-18T00:00:00"/>
    <x v="1"/>
    <n v="1899"/>
    <x v="3"/>
  </r>
  <r>
    <x v="9"/>
    <d v="2025-09-23T00:00:00"/>
    <x v="2"/>
    <n v="-45.4"/>
    <x v="7"/>
  </r>
  <r>
    <x v="3"/>
    <d v="2025-09-23T00:00:00"/>
    <x v="2"/>
    <n v="9752"/>
    <x v="3"/>
  </r>
  <r>
    <x v="2"/>
    <d v="2025-09-23T00:00:00"/>
    <x v="2"/>
    <n v="-1149.26"/>
    <x v="2"/>
  </r>
  <r>
    <x v="3"/>
    <d v="2025-09-23T00:00:00"/>
    <x v="2"/>
    <n v="50797.292000000001"/>
    <x v="2"/>
  </r>
  <r>
    <x v="3"/>
    <d v="2025-09-25T00:00:00"/>
    <x v="2"/>
    <n v="-50797.292000000001"/>
    <x v="2"/>
  </r>
  <r>
    <x v="3"/>
    <d v="2025-09-25T00:00:00"/>
    <x v="2"/>
    <n v="4000"/>
    <x v="10"/>
  </r>
  <r>
    <x v="14"/>
    <d v="2025-09-25T00:00:00"/>
    <x v="2"/>
    <n v="20000"/>
    <x v="11"/>
  </r>
  <r>
    <x v="14"/>
    <d v="2025-09-25T00:00:00"/>
    <x v="2"/>
    <n v="38590"/>
    <x v="10"/>
  </r>
  <r>
    <x v="3"/>
    <d v="2025-09-25T00:00:00"/>
    <x v="2"/>
    <n v="-30090"/>
    <x v="0"/>
  </r>
  <r>
    <x v="1"/>
    <d v="2025-09-25T00:00:00"/>
    <x v="2"/>
    <n v="8"/>
    <x v="0"/>
  </r>
  <r>
    <x v="3"/>
    <d v="2025-09-26T00:00:00"/>
    <x v="2"/>
    <n v="-9882"/>
    <x v="0"/>
  </r>
  <r>
    <x v="1"/>
    <d v="2025-09-26T00:00:00"/>
    <x v="2"/>
    <n v="2.62"/>
    <x v="0"/>
  </r>
  <r>
    <x v="3"/>
    <d v="2025-09-26T00:00:00"/>
    <x v="0"/>
    <n v="-16821"/>
    <x v="3"/>
  </r>
  <r>
    <x v="1"/>
    <d v="2025-09-26T00:00:00"/>
    <x v="0"/>
    <n v="4.476"/>
    <x v="3"/>
  </r>
  <r>
    <x v="14"/>
    <d v="2025-09-26T00:00:00"/>
    <x v="4"/>
    <n v="18000"/>
    <x v="11"/>
  </r>
  <r>
    <x v="14"/>
    <d v="2025-09-26T00:00:00"/>
    <x v="4"/>
    <n v="12660"/>
    <x v="10"/>
  </r>
  <r>
    <x v="15"/>
    <d v="2025-09-27T00:00:00"/>
    <x v="2"/>
    <n v="96"/>
    <x v="12"/>
  </r>
  <r>
    <x v="16"/>
    <d v="2025-09-27T00:00:00"/>
    <x v="2"/>
    <n v="3000000"/>
    <x v="13"/>
  </r>
  <r>
    <x v="16"/>
    <d v="2025-09-27T00:00:00"/>
    <x v="2"/>
    <n v="3320000"/>
    <x v="14"/>
  </r>
  <r>
    <x v="3"/>
    <d v="2025-09-26T00:00:00"/>
    <x v="2"/>
    <n v="-14000"/>
    <x v="3"/>
  </r>
  <r>
    <x v="1"/>
    <d v="2025-09-26T00:00:00"/>
    <x v="2"/>
    <n v="3.7360000000000002"/>
    <x v="3"/>
  </r>
  <r>
    <x v="3"/>
    <d v="2025-09-26T00:00:00"/>
    <x v="0"/>
    <n v="-672"/>
    <x v="0"/>
  </r>
  <r>
    <x v="1"/>
    <d v="2025-09-26T00:00:00"/>
    <x v="0"/>
    <n v="-4.476"/>
    <x v="3"/>
  </r>
  <r>
    <x v="1"/>
    <d v="2025-09-26T00:00:00"/>
    <x v="0"/>
    <n v="4.476"/>
    <x v="1"/>
  </r>
  <r>
    <x v="1"/>
    <d v="2025-09-26T00:00:00"/>
    <x v="2"/>
    <n v="-3.524"/>
    <x v="3"/>
  </r>
  <r>
    <x v="1"/>
    <d v="2025-09-26T00:00:00"/>
    <x v="2"/>
    <n v="3.524"/>
    <x v="1"/>
  </r>
  <r>
    <x v="1"/>
    <d v="2025-09-26T00:00:00"/>
    <x v="2"/>
    <n v="-8"/>
    <x v="0"/>
  </r>
  <r>
    <x v="1"/>
    <d v="2025-09-26T00:00:00"/>
    <x v="2"/>
    <n v="8"/>
    <x v="1"/>
  </r>
  <r>
    <x v="1"/>
    <d v="2025-10-01T00:00:00"/>
    <x v="0"/>
    <n v="-1.0489999999999999"/>
    <x v="1"/>
  </r>
  <r>
    <x v="1"/>
    <d v="2025-10-01T00:00:00"/>
    <x v="1"/>
    <n v="1.0489999999999999"/>
    <x v="1"/>
  </r>
  <r>
    <x v="3"/>
    <d v="2025-10-01T00:00:00"/>
    <x v="2"/>
    <n v="-2900"/>
    <x v="10"/>
  </r>
  <r>
    <x v="3"/>
    <d v="2025-10-01T00:00:00"/>
    <x v="0"/>
    <n v="2900"/>
    <x v="10"/>
  </r>
  <r>
    <x v="1"/>
    <d v="2025-10-01T00:00:00"/>
    <x v="3"/>
    <n v="-0.75700000000000001"/>
    <x v="1"/>
  </r>
  <r>
    <x v="1"/>
    <d v="2025-10-01T00:00:00"/>
    <x v="1"/>
    <n v="0.75700000000000001"/>
    <x v="1"/>
  </r>
  <r>
    <x v="17"/>
    <m/>
    <x v="5"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4B899-09D9-E44A-917E-AE661C3FDE02}" name="PivotTable2" cacheId="2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1">
  <location ref="J52:T58" firstHeaderRow="1" firstDataRow="2" firstDataCol="1"/>
  <pivotFields count="5">
    <pivotField axis="axisRow" showAll="0" measureFilter="1">
      <items count="19">
        <item x="6"/>
        <item x="0"/>
        <item x="2"/>
        <item x="1"/>
        <item x="5"/>
        <item x="3"/>
        <item x="4"/>
        <item x="17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dataField="1" showAll="0"/>
    <pivotField axis="axisCol" showAll="0" measureFilter="1">
      <items count="21">
        <item x="0"/>
        <item x="2"/>
        <item x="3"/>
        <item x="1"/>
        <item x="4"/>
        <item x="15"/>
        <item m="1" x="17"/>
        <item x="6"/>
        <item x="5"/>
        <item x="7"/>
        <item m="1" x="19"/>
        <item x="8"/>
        <item m="1" x="18"/>
        <item x="9"/>
        <item x="10"/>
        <item x="11"/>
        <item x="12"/>
        <item x="13"/>
        <item x="14"/>
        <item m="1" x="16"/>
        <item t="default"/>
      </items>
    </pivotField>
  </pivotFields>
  <rowFields count="1">
    <field x="0"/>
  </rowFields>
  <rowItems count="5">
    <i>
      <x v="3"/>
    </i>
    <i>
      <x v="5"/>
    </i>
    <i>
      <x v="15"/>
    </i>
    <i>
      <x v="16"/>
    </i>
    <i>
      <x v="17"/>
    </i>
  </rowItems>
  <colFields count="1">
    <field x="4"/>
  </colFields>
  <colItems count="10">
    <i>
      <x/>
    </i>
    <i>
      <x v="2"/>
    </i>
    <i>
      <x v="3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Unit" fld="3" baseField="0" baseItem="0"/>
  </dataFields>
  <formats count="15">
    <format dxfId="14">
      <pivotArea dataOnly="0" labelOnly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13">
      <pivotArea collapsedLevelsAreSubtotals="1" fieldPosition="0">
        <references count="2">
          <reference field="0" count="1">
            <x v="1"/>
          </reference>
          <reference field="4" count="1" selected="0">
            <x v="0"/>
          </reference>
        </references>
      </pivotArea>
    </format>
    <format dxfId="12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11">
      <pivotArea collapsedLevelsAreSubtotals="1" fieldPosition="0">
        <references count="2">
          <reference field="0" count="1">
            <x v="9"/>
          </reference>
          <reference field="4" count="1" selected="0">
            <x v="0"/>
          </reference>
        </references>
      </pivotArea>
    </format>
    <format dxfId="10">
      <pivotArea collapsedLevelsAreSubtotals="1" fieldPosition="0">
        <references count="2">
          <reference field="0" count="1">
            <x v="10"/>
          </reference>
          <reference field="4" count="1" selected="0">
            <x v="2"/>
          </reference>
        </references>
      </pivotArea>
    </format>
    <format dxfId="9">
      <pivotArea collapsedLevelsAreSubtotals="1" fieldPosition="0">
        <references count="2">
          <reference field="0" count="1">
            <x v="2"/>
          </reference>
          <reference field="4" count="1" selected="0">
            <x v="1"/>
          </reference>
        </references>
      </pivotArea>
    </format>
    <format dxfId="8">
      <pivotArea field="0" grandCol="1" collapsedLevelsAreSubtotals="1" axis="axisRow" fieldPosition="0">
        <references count="1">
          <reference field="0" count="1">
            <x v="2"/>
          </reference>
        </references>
      </pivotArea>
    </format>
    <format dxfId="7">
      <pivotArea field="0" grandCol="1" collapsedLevelsAreSubtotals="1" axis="axisRow" fieldPosition="0">
        <references count="1">
          <reference field="0" count="1">
            <x v="9"/>
          </reference>
        </references>
      </pivotArea>
    </format>
    <format dxfId="6">
      <pivotArea collapsedLevelsAreSubtotals="1" fieldPosition="0">
        <references count="2">
          <reference field="0" count="4">
            <x v="5"/>
            <x v="15"/>
            <x v="16"/>
            <x v="17"/>
          </reference>
          <reference field="4" count="5" selected="0">
            <x v="14"/>
            <x v="15"/>
            <x v="16"/>
            <x v="17"/>
            <x v="18"/>
          </reference>
        </references>
      </pivotArea>
    </format>
    <format dxfId="5">
      <pivotArea dataOnly="0" labelOnly="1" fieldPosition="0">
        <references count="1">
          <reference field="4" count="8">
            <x v="2"/>
            <x v="3"/>
            <x v="13"/>
            <x v="14"/>
            <x v="15"/>
            <x v="16"/>
            <x v="17"/>
            <x v="18"/>
          </reference>
        </references>
      </pivotArea>
    </format>
    <format dxfId="4">
      <pivotArea collapsedLevelsAreSubtotals="1" fieldPosition="0">
        <references count="2">
          <reference field="0" count="1">
            <x v="5"/>
          </reference>
          <reference field="4" count="1" selected="0">
            <x v="0"/>
          </reference>
        </references>
      </pivotArea>
    </format>
    <format dxfId="3">
      <pivotArea collapsedLevelsAreSubtotals="1" fieldPosition="0">
        <references count="2">
          <reference field="0" count="1">
            <x v="5"/>
          </reference>
          <reference field="4" count="1" selected="0">
            <x v="2"/>
          </reference>
        </references>
      </pivotArea>
    </format>
    <format dxfId="2">
      <pivotArea grandCol="1" outline="0" collapsedLevelsAreSubtotals="1" fieldPosition="0"/>
    </format>
    <format dxfId="1">
      <pivotArea collapsedLevelsAreSubtotals="1" fieldPosition="0">
        <references count="2">
          <reference field="0" count="1">
            <x v="3"/>
          </reference>
          <reference field="4" count="1" selected="0">
            <x v="2"/>
          </reference>
        </references>
      </pivotArea>
    </format>
    <format dxfId="0">
      <pivotArea collapsedLevelsAreSubtotals="1" fieldPosition="0">
        <references count="2">
          <reference field="0" count="1">
            <x v="5"/>
          </reference>
          <reference field="4" count="2" selected="0">
            <x v="0"/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  <filter fld="0" type="valueGreaterThan" evalOrder="-1" id="4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1157A-AD5F-B64A-8B92-5E4552FCE71A}" name="PivotTable1" cacheId="2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 chartFormat="1">
  <location ref="J11:O44" firstHeaderRow="1" firstDataRow="2" firstDataCol="1"/>
  <pivotFields count="5">
    <pivotField axis="axisCol" showAll="0" measureFilter="1">
      <items count="19">
        <item x="0"/>
        <item x="2"/>
        <item x="1"/>
        <item x="3"/>
        <item x="4"/>
        <item x="17"/>
        <item x="6"/>
        <item x="5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Row" showAll="0">
      <items count="8">
        <item x="1"/>
        <item x="3"/>
        <item x="2"/>
        <item x="0"/>
        <item h="1" x="5"/>
        <item m="1" x="6"/>
        <item x="4"/>
        <item t="default"/>
      </items>
    </pivotField>
    <pivotField dataField="1" showAll="0"/>
    <pivotField axis="axisRow" showAll="0">
      <items count="21">
        <item x="0"/>
        <item x="2"/>
        <item x="3"/>
        <item x="1"/>
        <item x="15"/>
        <item x="4"/>
        <item m="1" x="17"/>
        <item x="6"/>
        <item x="5"/>
        <item x="7"/>
        <item m="1" x="19"/>
        <item x="8"/>
        <item m="1" x="18"/>
        <item x="9"/>
        <item x="10"/>
        <item x="11"/>
        <item x="12"/>
        <item x="13"/>
        <item x="14"/>
        <item m="1" x="16"/>
        <item t="default"/>
      </items>
    </pivotField>
  </pivotFields>
  <rowFields count="2">
    <field x="2"/>
    <field x="4"/>
  </rowFields>
  <rowItems count="32">
    <i>
      <x/>
    </i>
    <i r="1">
      <x/>
    </i>
    <i r="1">
      <x v="2"/>
    </i>
    <i r="1">
      <x v="3"/>
    </i>
    <i>
      <x v="1"/>
    </i>
    <i r="1">
      <x v="3"/>
    </i>
    <i>
      <x v="2"/>
    </i>
    <i r="1">
      <x/>
    </i>
    <i r="1">
      <x v="1"/>
    </i>
    <i r="1">
      <x v="2"/>
    </i>
    <i r="1">
      <x v="3"/>
    </i>
    <i r="1">
      <x v="5"/>
    </i>
    <i r="1">
      <x v="9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</i>
    <i r="1">
      <x/>
    </i>
    <i r="1">
      <x v="2"/>
    </i>
    <i r="1">
      <x v="3"/>
    </i>
    <i r="1">
      <x v="7"/>
    </i>
    <i r="1">
      <x v="8"/>
    </i>
    <i r="1">
      <x v="11"/>
    </i>
    <i r="1">
      <x v="13"/>
    </i>
    <i r="1">
      <x v="14"/>
    </i>
    <i>
      <x v="6"/>
    </i>
    <i r="1">
      <x v="14"/>
    </i>
    <i r="1">
      <x v="15"/>
    </i>
    <i t="grand">
      <x/>
    </i>
  </rowItems>
  <colFields count="1">
    <field x="0"/>
  </colFields>
  <colItems count="5">
    <i>
      <x v="2"/>
    </i>
    <i>
      <x v="3"/>
    </i>
    <i>
      <x v="15"/>
    </i>
    <i>
      <x v="16"/>
    </i>
    <i>
      <x v="17"/>
    </i>
  </colItems>
  <dataFields count="1">
    <dataField name="Sum of Unit" fld="3" baseField="0" baseItem="0"/>
  </dataFields>
  <formats count="20">
    <format dxfId="34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33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Col="1" outline="0" fieldPosition="0"/>
    </format>
    <format dxfId="30">
      <pivotArea collapsedLevelsAreSubtotals="1" fieldPosition="0">
        <references count="3">
          <reference field="0" count="1" selected="0">
            <x v="3"/>
          </reference>
          <reference field="2" count="1" selected="0">
            <x v="3"/>
          </reference>
          <reference field="4" count="1">
            <x v="8"/>
          </reference>
        </references>
      </pivotArea>
    </format>
    <format dxfId="29">
      <pivotArea collapsedLevelsAreSubtotals="1" fieldPosition="0">
        <references count="3">
          <reference field="0" count="1" selected="0">
            <x v="3"/>
          </reference>
          <reference field="2" count="1" selected="0">
            <x v="0"/>
          </reference>
          <reference field="4" count="1">
            <x v="2"/>
          </reference>
        </references>
      </pivotArea>
    </format>
    <format dxfId="28">
      <pivotArea collapsedLevelsAreSubtotals="1" fieldPosition="0">
        <references count="3">
          <reference field="0" count="1" selected="0">
            <x v="2"/>
          </reference>
          <reference field="2" count="1" selected="0">
            <x v="2"/>
          </reference>
          <reference field="4" count="1">
            <x v="0"/>
          </reference>
        </references>
      </pivotArea>
    </format>
    <format dxfId="27">
      <pivotArea collapsedLevelsAreSubtotals="1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26">
      <pivotArea collapsedLevelsAreSubtotals="1" fieldPosition="0">
        <references count="3">
          <reference field="0" count="1" selected="0">
            <x v="1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25">
      <pivotArea collapsedLevelsAreSubtotals="1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24">
      <pivotArea field="0" grandRow="1" outline="0" collapsedLevelsAreSubtotals="1" axis="axisCol" fieldPosition="0">
        <references count="1">
          <reference field="0" count="1" selected="0">
            <x v="1"/>
          </reference>
        </references>
      </pivotArea>
    </format>
    <format dxfId="23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22">
      <pivotArea collapsedLevelsAreSubtotals="1" fieldPosition="0">
        <references count="3">
          <reference field="0" count="1" selected="0">
            <x v="2"/>
          </reference>
          <reference field="2" count="1" selected="0">
            <x v="2"/>
          </reference>
          <reference field="4" count="1">
            <x v="0"/>
          </reference>
        </references>
      </pivotArea>
    </format>
    <format dxfId="21">
      <pivotArea collapsedLevelsAreSubtotals="1" fieldPosition="0">
        <references count="3">
          <reference field="0" count="1" selected="0">
            <x v="3"/>
          </reference>
          <reference field="2" count="1" selected="0">
            <x v="2"/>
          </reference>
          <reference field="4" count="1">
            <x v="0"/>
          </reference>
        </references>
      </pivotArea>
    </format>
    <format dxfId="20">
      <pivotArea collapsedLevelsAreSubtotals="1" fieldPosition="0">
        <references count="3">
          <reference field="0" count="1" selected="0">
            <x v="3"/>
          </reference>
          <reference field="2" count="1" selected="0">
            <x v="2"/>
          </reference>
          <reference field="4" count="1">
            <x v="2"/>
          </reference>
        </references>
      </pivotArea>
    </format>
    <format dxfId="19">
      <pivotArea collapsedLevelsAreSubtotals="1" fieldPosition="0">
        <references count="3">
          <reference field="0" count="1" selected="0">
            <x v="3"/>
          </reference>
          <reference field="2" count="1" selected="0">
            <x v="2"/>
          </reference>
          <reference field="4" count="1">
            <x v="14"/>
          </reference>
        </references>
      </pivotArea>
    </format>
    <format dxfId="18">
      <pivotArea collapsedLevelsAreSubtotals="1" fieldPosition="0">
        <references count="3">
          <reference field="0" count="1" selected="0">
            <x v="2"/>
          </reference>
          <reference field="2" count="1" selected="0">
            <x v="2"/>
          </reference>
          <reference field="4" count="1">
            <x v="13"/>
          </reference>
        </references>
      </pivotArea>
    </format>
    <format dxfId="17">
      <pivotArea collapsedLevelsAreSubtotals="1" fieldPosition="0">
        <references count="3">
          <reference field="0" count="1" selected="0">
            <x v="2"/>
          </reference>
          <reference field="2" count="1" selected="0">
            <x v="3"/>
          </reference>
          <reference field="4" count="1">
            <x v="13"/>
          </reference>
        </references>
      </pivotArea>
    </format>
    <format dxfId="16">
      <pivotArea collapsedLevelsAreSubtotals="1" fieldPosition="0">
        <references count="3">
          <reference field="0" count="1" selected="0">
            <x v="15"/>
          </reference>
          <reference field="2" count="1" selected="0">
            <x v="2"/>
          </reference>
          <reference field="4" count="1">
            <x v="15"/>
          </reference>
        </references>
      </pivotArea>
    </format>
    <format dxfId="15">
      <pivotArea collapsedLevelsAreSubtotals="1" fieldPosition="0">
        <references count="3">
          <reference field="0" count="3" selected="0">
            <x v="2"/>
            <x v="3"/>
            <x v="15"/>
          </reference>
          <reference field="2" count="1" selected="0">
            <x v="2"/>
          </reference>
          <reference field="4" count="10">
            <x v="0"/>
            <x v="1"/>
            <x v="2"/>
            <x v="3"/>
            <x v="5"/>
            <x v="9"/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12A0-C8C9-E141-A34E-0E97E3B5BFAE}">
  <dimension ref="A1:AB212"/>
  <sheetViews>
    <sheetView tabSelected="1" topLeftCell="A10" workbookViewId="0">
      <pane ySplit="10480" topLeftCell="A206"/>
      <selection activeCell="L19" sqref="L19:M19"/>
      <selection pane="bottomLeft" activeCell="F212" sqref="F212"/>
    </sheetView>
  </sheetViews>
  <sheetFormatPr baseColWidth="10" defaultRowHeight="16" x14ac:dyDescent="0.2"/>
  <cols>
    <col min="5" max="5" width="21.33203125" customWidth="1"/>
    <col min="10" max="10" width="19.5" bestFit="1" customWidth="1"/>
    <col min="11" max="11" width="15.5" bestFit="1" customWidth="1"/>
    <col min="12" max="12" width="9.1640625" bestFit="1" customWidth="1"/>
    <col min="13" max="13" width="6.1640625" bestFit="1" customWidth="1"/>
    <col min="14" max="14" width="3.5" bestFit="1" customWidth="1"/>
    <col min="15" max="15" width="8.1640625" bestFit="1" customWidth="1"/>
    <col min="16" max="16" width="8" bestFit="1" customWidth="1"/>
    <col min="17" max="17" width="5.33203125" bestFit="1" customWidth="1"/>
    <col min="18" max="18" width="10.5" bestFit="1" customWidth="1"/>
    <col min="19" max="19" width="15" bestFit="1" customWidth="1"/>
    <col min="20" max="20" width="13" bestFit="1" customWidth="1"/>
    <col min="21" max="21" width="6.1640625" bestFit="1" customWidth="1"/>
    <col min="22" max="22" width="6.1640625" style="11" bestFit="1" customWidth="1"/>
    <col min="23" max="24" width="12.83203125" bestFit="1" customWidth="1"/>
    <col min="25" max="25" width="5.33203125" bestFit="1" customWidth="1"/>
    <col min="26" max="26" width="10.1640625" bestFit="1" customWidth="1"/>
    <col min="27" max="27" width="15" customWidth="1"/>
  </cols>
  <sheetData>
    <row r="1" spans="1:2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18</v>
      </c>
    </row>
    <row r="2" spans="1:28" x14ac:dyDescent="0.2">
      <c r="A2" t="s">
        <v>4</v>
      </c>
      <c r="B2" s="2">
        <v>45819</v>
      </c>
      <c r="C2" t="s">
        <v>5</v>
      </c>
      <c r="D2">
        <v>5.4670000000000003E-2</v>
      </c>
      <c r="E2" t="s">
        <v>6</v>
      </c>
    </row>
    <row r="3" spans="1:28" x14ac:dyDescent="0.2">
      <c r="A3" t="s">
        <v>7</v>
      </c>
      <c r="B3" s="2">
        <v>45819</v>
      </c>
      <c r="C3" t="s">
        <v>8</v>
      </c>
      <c r="D3">
        <v>1.903</v>
      </c>
      <c r="E3" t="s">
        <v>9</v>
      </c>
    </row>
    <row r="4" spans="1:28" x14ac:dyDescent="0.2">
      <c r="A4" t="s">
        <v>7</v>
      </c>
      <c r="B4" s="2">
        <v>45819</v>
      </c>
      <c r="C4" t="s">
        <v>10</v>
      </c>
      <c r="D4">
        <v>35.86</v>
      </c>
      <c r="E4" t="s">
        <v>9</v>
      </c>
    </row>
    <row r="5" spans="1:28" x14ac:dyDescent="0.2">
      <c r="A5" t="s">
        <v>7</v>
      </c>
      <c r="B5" s="2">
        <v>45819</v>
      </c>
      <c r="C5" t="s">
        <v>11</v>
      </c>
      <c r="D5">
        <v>0.75700000000000001</v>
      </c>
      <c r="E5" t="s">
        <v>9</v>
      </c>
    </row>
    <row r="6" spans="1:28" x14ac:dyDescent="0.2">
      <c r="A6" t="s">
        <v>12</v>
      </c>
      <c r="B6" s="2">
        <v>45819</v>
      </c>
      <c r="C6" t="s">
        <v>10</v>
      </c>
      <c r="D6">
        <v>513.36</v>
      </c>
      <c r="E6" t="s">
        <v>13</v>
      </c>
    </row>
    <row r="7" spans="1:28" x14ac:dyDescent="0.2">
      <c r="A7" t="s">
        <v>14</v>
      </c>
      <c r="B7" s="2">
        <v>45819</v>
      </c>
      <c r="C7" t="s">
        <v>8</v>
      </c>
      <c r="D7">
        <v>4655</v>
      </c>
      <c r="E7" t="s">
        <v>15</v>
      </c>
    </row>
    <row r="8" spans="1:28" x14ac:dyDescent="0.2">
      <c r="A8" t="s">
        <v>14</v>
      </c>
      <c r="B8" s="2">
        <v>45819</v>
      </c>
      <c r="C8" t="s">
        <v>8</v>
      </c>
      <c r="D8">
        <v>82</v>
      </c>
      <c r="E8" t="s">
        <v>6</v>
      </c>
    </row>
    <row r="9" spans="1:28" x14ac:dyDescent="0.2">
      <c r="A9" t="s">
        <v>14</v>
      </c>
      <c r="B9" s="2">
        <v>45819</v>
      </c>
      <c r="C9" t="s">
        <v>10</v>
      </c>
      <c r="D9">
        <v>213</v>
      </c>
      <c r="E9" t="s">
        <v>6</v>
      </c>
      <c r="J9" t="s">
        <v>35</v>
      </c>
      <c r="L9">
        <v>38.4</v>
      </c>
      <c r="M9">
        <v>3390</v>
      </c>
      <c r="N9">
        <v>1</v>
      </c>
      <c r="S9">
        <v>1</v>
      </c>
      <c r="T9">
        <v>4200</v>
      </c>
    </row>
    <row r="10" spans="1:28" x14ac:dyDescent="0.2">
      <c r="A10" t="s">
        <v>14</v>
      </c>
      <c r="B10" s="2">
        <v>45819</v>
      </c>
      <c r="C10" t="s">
        <v>5</v>
      </c>
      <c r="D10">
        <v>6183</v>
      </c>
      <c r="E10" t="s">
        <v>6</v>
      </c>
    </row>
    <row r="11" spans="1:28" x14ac:dyDescent="0.2">
      <c r="A11" t="s">
        <v>4</v>
      </c>
      <c r="B11" s="2">
        <v>45832</v>
      </c>
      <c r="C11" t="s">
        <v>5</v>
      </c>
      <c r="D11">
        <v>-5.4670000000000003E-2</v>
      </c>
      <c r="E11" t="s">
        <v>6</v>
      </c>
      <c r="J11" s="6" t="s">
        <v>26</v>
      </c>
      <c r="K11" s="6" t="s">
        <v>25</v>
      </c>
      <c r="V11"/>
    </row>
    <row r="12" spans="1:28" x14ac:dyDescent="0.2">
      <c r="A12" t="s">
        <v>14</v>
      </c>
      <c r="B12" s="2">
        <v>45832</v>
      </c>
      <c r="C12" t="s">
        <v>5</v>
      </c>
      <c r="D12">
        <v>5741</v>
      </c>
      <c r="E12" t="s">
        <v>6</v>
      </c>
      <c r="J12" s="6" t="s">
        <v>23</v>
      </c>
      <c r="K12" s="35" t="s">
        <v>7</v>
      </c>
      <c r="L12" s="10" t="s">
        <v>14</v>
      </c>
      <c r="M12" s="34" t="s">
        <v>50</v>
      </c>
      <c r="N12" s="34" t="s">
        <v>66</v>
      </c>
      <c r="O12" s="34" t="s">
        <v>65</v>
      </c>
      <c r="V12"/>
    </row>
    <row r="13" spans="1:28" ht="17" thickBot="1" x14ac:dyDescent="0.25">
      <c r="A13" t="s">
        <v>7</v>
      </c>
      <c r="B13" s="2">
        <v>45834</v>
      </c>
      <c r="C13" t="s">
        <v>10</v>
      </c>
      <c r="D13">
        <v>-10</v>
      </c>
      <c r="E13" t="s">
        <v>9</v>
      </c>
      <c r="J13" s="7" t="s">
        <v>8</v>
      </c>
      <c r="K13" s="8">
        <v>6.3680000000000003</v>
      </c>
      <c r="L13" s="8">
        <v>2081</v>
      </c>
      <c r="M13" s="8"/>
      <c r="N13" s="8"/>
      <c r="O13" s="8"/>
      <c r="V13"/>
      <c r="AA13" s="14" t="e">
        <f>SUM(AA14:AA16)</f>
        <v>#REF!</v>
      </c>
      <c r="AB13" s="15" t="e">
        <f>AA13*17.7</f>
        <v>#REF!</v>
      </c>
    </row>
    <row r="14" spans="1:28" ht="17" thickTop="1" x14ac:dyDescent="0.2">
      <c r="A14" t="s">
        <v>12</v>
      </c>
      <c r="B14" s="2">
        <v>45834</v>
      </c>
      <c r="C14" t="s">
        <v>10</v>
      </c>
      <c r="D14">
        <v>905.73</v>
      </c>
      <c r="E14" t="s">
        <v>13</v>
      </c>
      <c r="J14" s="9" t="s">
        <v>6</v>
      </c>
      <c r="K14" s="8"/>
      <c r="L14" s="8">
        <v>82</v>
      </c>
      <c r="M14" s="8"/>
      <c r="N14" s="8"/>
      <c r="O14" s="8"/>
      <c r="V14"/>
      <c r="AA14" s="16" t="e">
        <f>GETPIVOTDATA("Unit",$J$11,"Allocation","Account","HoldingEntity","Binance")</f>
        <v>#REF!</v>
      </c>
    </row>
    <row r="15" spans="1:28" x14ac:dyDescent="0.2">
      <c r="A15" t="s">
        <v>14</v>
      </c>
      <c r="B15" s="2">
        <v>45840</v>
      </c>
      <c r="C15" t="s">
        <v>5</v>
      </c>
      <c r="D15">
        <v>-4000</v>
      </c>
      <c r="E15" t="s">
        <v>6</v>
      </c>
      <c r="F15" t="s">
        <v>19</v>
      </c>
      <c r="J15" s="9" t="s">
        <v>15</v>
      </c>
      <c r="K15" s="8">
        <v>1.4930000000000001</v>
      </c>
      <c r="L15" s="24">
        <v>1899</v>
      </c>
      <c r="M15" s="8"/>
      <c r="N15" s="8"/>
      <c r="O15" s="8"/>
      <c r="V15"/>
      <c r="AA15" t="e">
        <f>GETPIVOTDATA("Unit",$J$11,"Allocation","Account","HoldingEntity","Mexc")*T9</f>
        <v>#REF!</v>
      </c>
    </row>
    <row r="16" spans="1:28" x14ac:dyDescent="0.2">
      <c r="A16" t="s">
        <v>7</v>
      </c>
      <c r="B16" s="2">
        <v>45844</v>
      </c>
      <c r="C16" t="s">
        <v>10</v>
      </c>
      <c r="D16">
        <v>-6.58</v>
      </c>
      <c r="E16" t="s">
        <v>9</v>
      </c>
      <c r="J16" s="9" t="s">
        <v>9</v>
      </c>
      <c r="K16" s="8">
        <v>4.875</v>
      </c>
      <c r="L16" s="8">
        <v>100</v>
      </c>
      <c r="M16" s="8"/>
      <c r="N16" s="8"/>
      <c r="O16" s="8"/>
      <c r="V16"/>
      <c r="AA16" t="e">
        <f>GETPIVOTDATA("Unit",$J$11,"Allocation","Account","HoldingEntity","MultiSig")*M9</f>
        <v>#REF!</v>
      </c>
    </row>
    <row r="17" spans="1:28" x14ac:dyDescent="0.2">
      <c r="A17" t="s">
        <v>4</v>
      </c>
      <c r="B17" s="2">
        <v>45844</v>
      </c>
      <c r="C17" t="s">
        <v>10</v>
      </c>
      <c r="D17">
        <v>0.20372999999999999</v>
      </c>
      <c r="E17" t="s">
        <v>6</v>
      </c>
      <c r="F17" t="s">
        <v>20</v>
      </c>
      <c r="J17" s="7" t="s">
        <v>11</v>
      </c>
      <c r="K17" s="8">
        <v>0</v>
      </c>
      <c r="L17" s="8"/>
      <c r="M17" s="8"/>
      <c r="N17" s="8"/>
      <c r="O17" s="8"/>
      <c r="V17"/>
    </row>
    <row r="18" spans="1:28" x14ac:dyDescent="0.2">
      <c r="A18" t="s">
        <v>7</v>
      </c>
      <c r="B18" s="2">
        <v>45848</v>
      </c>
      <c r="C18" t="s">
        <v>10</v>
      </c>
      <c r="D18">
        <v>-5</v>
      </c>
      <c r="E18" t="s">
        <v>9</v>
      </c>
      <c r="J18" s="9" t="s">
        <v>9</v>
      </c>
      <c r="K18" s="8">
        <v>0</v>
      </c>
      <c r="L18" s="8"/>
      <c r="M18" s="8"/>
      <c r="N18" s="8"/>
      <c r="O18" s="8"/>
      <c r="V18"/>
    </row>
    <row r="19" spans="1:28" ht="17" thickBot="1" x14ac:dyDescent="0.25">
      <c r="A19" t="s">
        <v>4</v>
      </c>
      <c r="B19" s="2">
        <v>45848</v>
      </c>
      <c r="C19" t="s">
        <v>10</v>
      </c>
      <c r="D19">
        <v>0.14499999999999999</v>
      </c>
      <c r="E19" t="s">
        <v>6</v>
      </c>
      <c r="J19" s="7" t="s">
        <v>10</v>
      </c>
      <c r="K19" s="8">
        <v>21.691121799999998</v>
      </c>
      <c r="L19" s="25">
        <v>4764.0199999999968</v>
      </c>
      <c r="M19" s="8">
        <v>58590</v>
      </c>
      <c r="N19" s="8">
        <v>96</v>
      </c>
      <c r="O19" s="8">
        <v>6320000</v>
      </c>
      <c r="V19"/>
      <c r="AA19" s="14" t="e">
        <f>SUM(AA20:AA22)</f>
        <v>#REF!</v>
      </c>
      <c r="AB19" s="15" t="e">
        <f>AA19*17.7</f>
        <v>#REF!</v>
      </c>
    </row>
    <row r="20" spans="1:28" ht="17" thickTop="1" x14ac:dyDescent="0.2">
      <c r="A20" s="4" t="s">
        <v>14</v>
      </c>
      <c r="B20" s="5">
        <v>45848</v>
      </c>
      <c r="C20" s="4" t="s">
        <v>5</v>
      </c>
      <c r="D20" s="4">
        <v>-7924</v>
      </c>
      <c r="E20" s="4" t="s">
        <v>6</v>
      </c>
      <c r="J20" s="9" t="s">
        <v>6</v>
      </c>
      <c r="K20" s="38">
        <v>2.6199517999999991</v>
      </c>
      <c r="L20" s="39">
        <v>3161.0199999999968</v>
      </c>
      <c r="M20" s="39"/>
      <c r="N20" s="8"/>
      <c r="O20" s="8"/>
      <c r="V20"/>
      <c r="AA20" t="e">
        <f>GETPIVOTDATA("Unit",$J$11,"Allocation","Investment","HoldingEntity","Binance")*T9</f>
        <v>#REF!</v>
      </c>
    </row>
    <row r="21" spans="1:28" x14ac:dyDescent="0.2">
      <c r="A21" t="s">
        <v>21</v>
      </c>
      <c r="B21" s="5">
        <v>45848</v>
      </c>
      <c r="C21" s="4" t="s">
        <v>5</v>
      </c>
      <c r="D21" s="4">
        <v>3288</v>
      </c>
      <c r="E21" s="4" t="s">
        <v>6</v>
      </c>
      <c r="J21" s="9" t="s">
        <v>13</v>
      </c>
      <c r="K21" s="39"/>
      <c r="L21" s="39">
        <v>0</v>
      </c>
      <c r="M21" s="39"/>
      <c r="N21" s="8"/>
      <c r="O21" s="8"/>
      <c r="V21"/>
      <c r="AA21" t="e">
        <f>GETPIVOTDATA("Unit",$J$11,"Allocation","Investment","HoldingEntity","Kinesis")*L9</f>
        <v>#REF!</v>
      </c>
    </row>
    <row r="22" spans="1:28" x14ac:dyDescent="0.2">
      <c r="A22" t="s">
        <v>14</v>
      </c>
      <c r="B22" s="2">
        <v>45851</v>
      </c>
      <c r="C22" t="s">
        <v>8</v>
      </c>
      <c r="D22">
        <v>-4655</v>
      </c>
      <c r="E22" t="s">
        <v>15</v>
      </c>
      <c r="J22" s="9" t="s">
        <v>15</v>
      </c>
      <c r="K22" s="39">
        <v>0.21200000000000019</v>
      </c>
      <c r="L22" s="39">
        <v>503</v>
      </c>
      <c r="M22" s="39"/>
      <c r="N22" s="8"/>
      <c r="O22" s="8"/>
      <c r="V22"/>
      <c r="AA22" t="e">
        <f>GETPIVOTDATA("Unit",$J$11,"Allocation","Investment","HoldingEntity","MultiSig")*M9</f>
        <v>#REF!</v>
      </c>
    </row>
    <row r="23" spans="1:28" x14ac:dyDescent="0.2">
      <c r="A23" t="s">
        <v>21</v>
      </c>
      <c r="B23" s="2">
        <v>45851</v>
      </c>
      <c r="C23" t="s">
        <v>8</v>
      </c>
      <c r="D23">
        <v>1679</v>
      </c>
      <c r="E23" t="s">
        <v>15</v>
      </c>
      <c r="J23" s="9" t="s">
        <v>9</v>
      </c>
      <c r="K23" s="39">
        <v>17.414169999999999</v>
      </c>
      <c r="L23" s="39">
        <v>0</v>
      </c>
      <c r="M23" s="39"/>
      <c r="N23" s="8"/>
      <c r="O23" s="8"/>
      <c r="V23"/>
    </row>
    <row r="24" spans="1:28" ht="17" thickBot="1" x14ac:dyDescent="0.25">
      <c r="A24" t="s">
        <v>7</v>
      </c>
      <c r="B24" s="2">
        <v>45854</v>
      </c>
      <c r="C24" t="s">
        <v>10</v>
      </c>
      <c r="D24">
        <v>-3.9</v>
      </c>
      <c r="E24" t="s">
        <v>9</v>
      </c>
      <c r="F24" t="s">
        <v>22</v>
      </c>
      <c r="J24" s="9" t="s">
        <v>29</v>
      </c>
      <c r="K24" s="39"/>
      <c r="L24" s="39"/>
      <c r="M24" s="39"/>
      <c r="N24" s="8"/>
      <c r="O24" s="8"/>
      <c r="V24"/>
      <c r="AA24" s="14" t="e">
        <f>SUM(AA25:AA28)</f>
        <v>#REF!</v>
      </c>
      <c r="AB24" s="15" t="e">
        <f>AA24*17.7</f>
        <v>#REF!</v>
      </c>
    </row>
    <row r="25" spans="1:28" ht="17" thickTop="1" x14ac:dyDescent="0.2">
      <c r="A25" t="s">
        <v>21</v>
      </c>
      <c r="B25" s="2">
        <v>45854</v>
      </c>
      <c r="C25" t="s">
        <v>10</v>
      </c>
      <c r="D25">
        <v>4424</v>
      </c>
      <c r="E25" t="s">
        <v>6</v>
      </c>
      <c r="F25" t="s">
        <v>22</v>
      </c>
      <c r="J25" s="9" t="s">
        <v>38</v>
      </c>
      <c r="K25" s="39"/>
      <c r="L25" s="39"/>
      <c r="M25" s="39"/>
      <c r="N25" s="8"/>
      <c r="O25" s="8"/>
      <c r="V25"/>
      <c r="AA25" t="e">
        <f>GETPIVOTDATA("Unit",$J$11,"Allocation","Personal","HoldingEntity","Binance")*T9</f>
        <v>#REF!</v>
      </c>
    </row>
    <row r="26" spans="1:28" x14ac:dyDescent="0.2">
      <c r="A26" t="s">
        <v>21</v>
      </c>
      <c r="B26" s="2">
        <v>45851</v>
      </c>
      <c r="C26" t="s">
        <v>8</v>
      </c>
      <c r="D26">
        <v>-1679</v>
      </c>
      <c r="E26" t="s">
        <v>15</v>
      </c>
      <c r="J26" s="9" t="s">
        <v>44</v>
      </c>
      <c r="K26" s="39">
        <v>1.4450000000000001</v>
      </c>
      <c r="L26" s="39"/>
      <c r="M26" s="39"/>
      <c r="N26" s="8"/>
      <c r="O26" s="8"/>
      <c r="V26"/>
      <c r="AA26" t="e">
        <f>GETPIVOTDATA("Unit",$J$11,"Allocation","Personal","HoldingEntity","MultiSig")</f>
        <v>#REF!</v>
      </c>
    </row>
    <row r="27" spans="1:28" x14ac:dyDescent="0.2">
      <c r="A27" t="s">
        <v>27</v>
      </c>
      <c r="B27" s="2">
        <v>45856</v>
      </c>
      <c r="C27" t="s">
        <v>8</v>
      </c>
      <c r="D27">
        <v>16789</v>
      </c>
      <c r="E27" t="s">
        <v>15</v>
      </c>
      <c r="J27" s="9" t="s">
        <v>51</v>
      </c>
      <c r="K27" s="39"/>
      <c r="L27" s="39">
        <v>1100</v>
      </c>
      <c r="M27" s="39">
        <v>38590</v>
      </c>
      <c r="N27" s="8"/>
      <c r="O27" s="8"/>
      <c r="V27"/>
      <c r="AA27" t="e">
        <f>GETPIVOTDATA("Unit",$J$11,"Allocation","Personal","HoldingEntity","Trezor10")</f>
        <v>#REF!</v>
      </c>
    </row>
    <row r="28" spans="1:28" x14ac:dyDescent="0.2">
      <c r="A28" t="s">
        <v>21</v>
      </c>
      <c r="B28" s="5">
        <v>45848</v>
      </c>
      <c r="C28" s="4" t="s">
        <v>5</v>
      </c>
      <c r="D28" s="4">
        <v>-3288</v>
      </c>
      <c r="E28" s="4" t="s">
        <v>6</v>
      </c>
      <c r="J28" s="9" t="s">
        <v>52</v>
      </c>
      <c r="K28" s="39"/>
      <c r="L28" s="39"/>
      <c r="M28" s="39">
        <v>20000</v>
      </c>
      <c r="N28" s="8"/>
      <c r="O28" s="8"/>
      <c r="V28"/>
      <c r="AA28" t="e">
        <f>GETPIVOTDATA("Unit",$J$11,"Allocation","Personal","HoldingEntity","Trezor 4")*T9</f>
        <v>#REF!</v>
      </c>
    </row>
    <row r="29" spans="1:28" x14ac:dyDescent="0.2">
      <c r="A29" t="s">
        <v>14</v>
      </c>
      <c r="B29" s="2">
        <v>45855</v>
      </c>
      <c r="C29" s="4" t="s">
        <v>5</v>
      </c>
      <c r="D29" s="4">
        <v>10873</v>
      </c>
      <c r="E29" s="4" t="s">
        <v>6</v>
      </c>
      <c r="J29" s="9" t="s">
        <v>67</v>
      </c>
      <c r="K29" s="39"/>
      <c r="L29" s="39"/>
      <c r="M29" s="39"/>
      <c r="N29" s="8">
        <v>96</v>
      </c>
      <c r="O29" s="8"/>
      <c r="V29"/>
    </row>
    <row r="30" spans="1:28" x14ac:dyDescent="0.2">
      <c r="A30" t="s">
        <v>21</v>
      </c>
      <c r="B30" s="2">
        <v>45854</v>
      </c>
      <c r="C30" t="s">
        <v>10</v>
      </c>
      <c r="D30">
        <v>-4424</v>
      </c>
      <c r="E30" t="s">
        <v>6</v>
      </c>
      <c r="J30" s="9" t="s">
        <v>68</v>
      </c>
      <c r="K30" s="8"/>
      <c r="L30" s="8"/>
      <c r="M30" s="8"/>
      <c r="N30" s="8"/>
      <c r="O30" s="8">
        <v>3000000</v>
      </c>
      <c r="V30"/>
    </row>
    <row r="31" spans="1:28" x14ac:dyDescent="0.2">
      <c r="A31" t="s">
        <v>14</v>
      </c>
      <c r="B31" s="2">
        <v>45855</v>
      </c>
      <c r="C31" t="s">
        <v>10</v>
      </c>
      <c r="D31">
        <v>15015</v>
      </c>
      <c r="E31" t="s">
        <v>6</v>
      </c>
      <c r="J31" s="9" t="s">
        <v>69</v>
      </c>
      <c r="K31" s="8"/>
      <c r="L31" s="8"/>
      <c r="M31" s="8"/>
      <c r="N31" s="8"/>
      <c r="O31" s="8">
        <v>3320000</v>
      </c>
      <c r="V31"/>
    </row>
    <row r="32" spans="1:28" x14ac:dyDescent="0.2">
      <c r="A32" t="s">
        <v>14</v>
      </c>
      <c r="B32" s="2">
        <v>45856</v>
      </c>
      <c r="C32" t="s">
        <v>10</v>
      </c>
      <c r="D32">
        <v>-15015</v>
      </c>
      <c r="E32" t="s">
        <v>6</v>
      </c>
      <c r="J32" s="7" t="s">
        <v>5</v>
      </c>
      <c r="K32" s="8">
        <v>4.0819999999999999</v>
      </c>
      <c r="L32" s="8">
        <v>3806</v>
      </c>
      <c r="M32" s="8"/>
      <c r="N32" s="8"/>
      <c r="O32" s="8"/>
      <c r="V32"/>
    </row>
    <row r="33" spans="1:22" x14ac:dyDescent="0.2">
      <c r="A33" t="s">
        <v>4</v>
      </c>
      <c r="B33" s="2">
        <v>45856</v>
      </c>
      <c r="C33" t="s">
        <v>10</v>
      </c>
      <c r="D33">
        <f>0.12472-0.00048</f>
        <v>0.12424</v>
      </c>
      <c r="E33" t="s">
        <v>6</v>
      </c>
      <c r="J33" s="9" t="s">
        <v>6</v>
      </c>
      <c r="K33" s="8"/>
      <c r="L33" s="8">
        <v>0</v>
      </c>
      <c r="M33" s="8"/>
      <c r="N33" s="8"/>
      <c r="O33" s="8"/>
      <c r="V33"/>
    </row>
    <row r="34" spans="1:22" x14ac:dyDescent="0.2">
      <c r="A34" t="s">
        <v>4</v>
      </c>
      <c r="B34" s="2">
        <v>45856</v>
      </c>
      <c r="C34" t="s">
        <v>10</v>
      </c>
      <c r="D34">
        <v>-0.34838000000000002</v>
      </c>
      <c r="E34" t="s">
        <v>6</v>
      </c>
      <c r="J34" s="9" t="s">
        <v>15</v>
      </c>
      <c r="K34" s="8">
        <v>0</v>
      </c>
      <c r="L34" s="8">
        <v>218</v>
      </c>
      <c r="M34" s="8"/>
      <c r="N34" s="8"/>
      <c r="O34" s="8"/>
      <c r="V34"/>
    </row>
    <row r="35" spans="1:22" x14ac:dyDescent="0.2">
      <c r="A35" t="s">
        <v>14</v>
      </c>
      <c r="B35" s="2">
        <v>45856</v>
      </c>
      <c r="C35" t="s">
        <v>10</v>
      </c>
      <c r="D35">
        <v>40855</v>
      </c>
      <c r="E35" t="s">
        <v>6</v>
      </c>
      <c r="J35" s="9" t="s">
        <v>9</v>
      </c>
      <c r="K35" s="8">
        <v>3.427</v>
      </c>
      <c r="L35" s="8">
        <v>688</v>
      </c>
      <c r="M35" s="8"/>
      <c r="N35" s="8"/>
      <c r="O35" s="8"/>
      <c r="V35"/>
    </row>
    <row r="36" spans="1:22" x14ac:dyDescent="0.2">
      <c r="A36" s="4" t="s">
        <v>14</v>
      </c>
      <c r="B36" s="5">
        <v>45858</v>
      </c>
      <c r="C36" s="4" t="s">
        <v>10</v>
      </c>
      <c r="D36" s="4">
        <v>-20000</v>
      </c>
      <c r="E36" s="4" t="s">
        <v>6</v>
      </c>
      <c r="F36" s="4"/>
      <c r="J36" s="9" t="s">
        <v>33</v>
      </c>
      <c r="K36" s="8"/>
      <c r="L36" s="8"/>
      <c r="M36" s="8"/>
      <c r="N36" s="8"/>
      <c r="O36" s="8"/>
      <c r="V36"/>
    </row>
    <row r="37" spans="1:22" x14ac:dyDescent="0.2">
      <c r="A37" s="4" t="s">
        <v>21</v>
      </c>
      <c r="B37" s="5">
        <v>45858</v>
      </c>
      <c r="C37" s="4" t="s">
        <v>10</v>
      </c>
      <c r="D37" s="4">
        <v>5698</v>
      </c>
      <c r="E37" s="4" t="s">
        <v>6</v>
      </c>
      <c r="F37" s="4"/>
      <c r="J37" s="9" t="s">
        <v>34</v>
      </c>
      <c r="K37" s="8"/>
      <c r="L37" s="24">
        <v>0</v>
      </c>
      <c r="M37" s="8"/>
      <c r="N37" s="8"/>
      <c r="O37" s="8"/>
      <c r="V37"/>
    </row>
    <row r="38" spans="1:22" x14ac:dyDescent="0.2">
      <c r="A38" s="4" t="s">
        <v>14</v>
      </c>
      <c r="B38" s="5">
        <v>45859</v>
      </c>
      <c r="C38" s="4" t="s">
        <v>10</v>
      </c>
      <c r="D38" s="4">
        <v>-21068</v>
      </c>
      <c r="E38" s="4" t="s">
        <v>6</v>
      </c>
      <c r="F38" s="4"/>
      <c r="J38" s="9" t="s">
        <v>42</v>
      </c>
      <c r="K38" s="8"/>
      <c r="L38" s="8"/>
      <c r="M38" s="8"/>
      <c r="N38" s="8"/>
      <c r="O38" s="8"/>
      <c r="V38"/>
    </row>
    <row r="39" spans="1:22" x14ac:dyDescent="0.2">
      <c r="A39" s="4" t="s">
        <v>14</v>
      </c>
      <c r="B39" s="5">
        <v>45859</v>
      </c>
      <c r="C39" s="4" t="s">
        <v>5</v>
      </c>
      <c r="D39" s="4">
        <v>-10873</v>
      </c>
      <c r="E39" s="4" t="s">
        <v>6</v>
      </c>
      <c r="F39" s="4"/>
      <c r="J39" s="9" t="s">
        <v>44</v>
      </c>
      <c r="K39" s="37">
        <v>0.65500000000000003</v>
      </c>
      <c r="L39" s="8"/>
      <c r="M39" s="8"/>
      <c r="N39" s="8"/>
      <c r="O39" s="8"/>
      <c r="V39"/>
    </row>
    <row r="40" spans="1:22" x14ac:dyDescent="0.2">
      <c r="A40" s="4" t="s">
        <v>21</v>
      </c>
      <c r="B40" s="5">
        <v>45859</v>
      </c>
      <c r="C40" s="4" t="s">
        <v>5</v>
      </c>
      <c r="D40" s="4">
        <f>3128</f>
        <v>3128</v>
      </c>
      <c r="E40" s="4" t="s">
        <v>6</v>
      </c>
      <c r="F40" s="4"/>
      <c r="J40" s="9" t="s">
        <v>51</v>
      </c>
      <c r="K40" s="8"/>
      <c r="L40" s="8">
        <v>2900</v>
      </c>
      <c r="M40" s="8"/>
      <c r="N40" s="8"/>
      <c r="O40" s="8"/>
      <c r="V40"/>
    </row>
    <row r="41" spans="1:22" x14ac:dyDescent="0.2">
      <c r="A41" s="4" t="s">
        <v>21</v>
      </c>
      <c r="B41" s="5">
        <v>45859</v>
      </c>
      <c r="C41" s="4" t="s">
        <v>10</v>
      </c>
      <c r="D41" s="4">
        <v>6000</v>
      </c>
      <c r="E41" s="4" t="s">
        <v>13</v>
      </c>
      <c r="F41" s="4"/>
      <c r="J41" s="7" t="s">
        <v>64</v>
      </c>
      <c r="K41" s="8"/>
      <c r="L41" s="8"/>
      <c r="M41" s="8">
        <v>30660</v>
      </c>
      <c r="N41" s="8"/>
      <c r="O41" s="8"/>
      <c r="V41"/>
    </row>
    <row r="42" spans="1:22" x14ac:dyDescent="0.2">
      <c r="A42" s="4" t="s">
        <v>27</v>
      </c>
      <c r="B42" s="5">
        <v>45859</v>
      </c>
      <c r="C42" s="4" t="s">
        <v>8</v>
      </c>
      <c r="D42" s="4">
        <v>-16789</v>
      </c>
      <c r="E42" s="4" t="s">
        <v>15</v>
      </c>
      <c r="F42" s="4"/>
      <c r="J42" s="9" t="s">
        <v>51</v>
      </c>
      <c r="K42" s="8"/>
      <c r="L42" s="8"/>
      <c r="M42" s="8">
        <v>12660</v>
      </c>
      <c r="N42" s="8"/>
      <c r="O42" s="8"/>
      <c r="V42"/>
    </row>
    <row r="43" spans="1:22" x14ac:dyDescent="0.2">
      <c r="A43" s="4" t="s">
        <v>28</v>
      </c>
      <c r="B43" s="5">
        <v>45859</v>
      </c>
      <c r="C43" s="4" t="s">
        <v>8</v>
      </c>
      <c r="D43" s="4">
        <v>17304</v>
      </c>
      <c r="E43" s="4" t="s">
        <v>15</v>
      </c>
      <c r="F43" s="4"/>
      <c r="J43" s="9" t="s">
        <v>52</v>
      </c>
      <c r="K43" s="8"/>
      <c r="L43" s="8"/>
      <c r="M43" s="8">
        <v>18000</v>
      </c>
      <c r="N43" s="8"/>
      <c r="O43" s="8"/>
    </row>
    <row r="44" spans="1:22" x14ac:dyDescent="0.2">
      <c r="A44" s="4" t="s">
        <v>28</v>
      </c>
      <c r="B44" s="5">
        <v>45859</v>
      </c>
      <c r="C44" s="4" t="s">
        <v>8</v>
      </c>
      <c r="D44" s="4">
        <v>-17304</v>
      </c>
      <c r="E44" s="4" t="s">
        <v>15</v>
      </c>
      <c r="F44" s="4"/>
      <c r="J44" s="7" t="s">
        <v>24</v>
      </c>
      <c r="K44" s="8">
        <v>32.141121800000001</v>
      </c>
      <c r="L44" s="8">
        <v>10651.019999999997</v>
      </c>
      <c r="M44" s="8">
        <v>89250</v>
      </c>
      <c r="N44" s="8">
        <v>96</v>
      </c>
      <c r="O44" s="8">
        <v>6320000</v>
      </c>
    </row>
    <row r="45" spans="1:22" x14ac:dyDescent="0.2">
      <c r="A45" s="4" t="s">
        <v>14</v>
      </c>
      <c r="B45" s="5">
        <v>45860</v>
      </c>
      <c r="C45" s="4" t="s">
        <v>8</v>
      </c>
      <c r="D45" s="4">
        <v>4975</v>
      </c>
      <c r="E45" s="4" t="s">
        <v>15</v>
      </c>
      <c r="F45" s="4"/>
    </row>
    <row r="46" spans="1:22" x14ac:dyDescent="0.2">
      <c r="A46" s="4" t="s">
        <v>21</v>
      </c>
      <c r="B46" s="5">
        <v>45861</v>
      </c>
      <c r="C46" s="4" t="s">
        <v>10</v>
      </c>
      <c r="D46" s="4">
        <v>-5698</v>
      </c>
      <c r="E46" s="4" t="s">
        <v>6</v>
      </c>
      <c r="F46" s="4"/>
    </row>
    <row r="47" spans="1:22" x14ac:dyDescent="0.2">
      <c r="A47" s="4" t="s">
        <v>14</v>
      </c>
      <c r="B47" s="5">
        <v>45861</v>
      </c>
      <c r="C47" s="4" t="s">
        <v>10</v>
      </c>
      <c r="D47" s="4">
        <v>18927</v>
      </c>
      <c r="E47" s="4" t="s">
        <v>9</v>
      </c>
      <c r="F47" s="4"/>
    </row>
    <row r="48" spans="1:22" x14ac:dyDescent="0.2">
      <c r="A48" s="4" t="s">
        <v>21</v>
      </c>
      <c r="B48" s="5">
        <v>45861</v>
      </c>
      <c r="C48" s="4" t="s">
        <v>5</v>
      </c>
      <c r="D48" s="4">
        <f>-3128</f>
        <v>-3128</v>
      </c>
      <c r="E48" s="4" t="s">
        <v>6</v>
      </c>
      <c r="F48" s="4"/>
    </row>
    <row r="49" spans="1:22" x14ac:dyDescent="0.2">
      <c r="A49" s="4" t="s">
        <v>14</v>
      </c>
      <c r="B49" s="5">
        <v>45861</v>
      </c>
      <c r="C49" s="4" t="s">
        <v>5</v>
      </c>
      <c r="D49" s="4">
        <v>10418</v>
      </c>
      <c r="E49" s="4" t="s">
        <v>9</v>
      </c>
      <c r="F49" s="4"/>
    </row>
    <row r="50" spans="1:22" x14ac:dyDescent="0.2">
      <c r="A50" s="4" t="s">
        <v>4</v>
      </c>
      <c r="B50" s="5">
        <v>45861</v>
      </c>
      <c r="C50" s="4" t="s">
        <v>10</v>
      </c>
      <c r="D50" s="4">
        <v>-0.12459000000000001</v>
      </c>
      <c r="E50" s="4" t="s">
        <v>6</v>
      </c>
      <c r="F50" s="4"/>
    </row>
    <row r="51" spans="1:22" x14ac:dyDescent="0.2">
      <c r="A51" s="4" t="s">
        <v>4</v>
      </c>
      <c r="B51" s="5">
        <v>45861</v>
      </c>
      <c r="C51" s="4" t="s">
        <v>10</v>
      </c>
      <c r="D51" s="4">
        <v>0.12459000000000001</v>
      </c>
      <c r="E51" s="4" t="s">
        <v>29</v>
      </c>
      <c r="U51" s="13"/>
    </row>
    <row r="52" spans="1:22" x14ac:dyDescent="0.2">
      <c r="A52" s="4" t="s">
        <v>21</v>
      </c>
      <c r="B52" s="5">
        <v>45863</v>
      </c>
      <c r="C52" s="4" t="s">
        <v>10</v>
      </c>
      <c r="D52" s="4">
        <v>-6000</v>
      </c>
      <c r="E52" s="4" t="s">
        <v>13</v>
      </c>
      <c r="J52" s="6" t="s">
        <v>26</v>
      </c>
      <c r="K52" s="6" t="s">
        <v>25</v>
      </c>
      <c r="V52"/>
    </row>
    <row r="53" spans="1:22" x14ac:dyDescent="0.2">
      <c r="A53" s="4" t="s">
        <v>21</v>
      </c>
      <c r="B53" s="5">
        <v>45863</v>
      </c>
      <c r="C53" s="4" t="s">
        <v>10</v>
      </c>
      <c r="D53" s="4">
        <v>6000</v>
      </c>
      <c r="E53" s="4" t="s">
        <v>29</v>
      </c>
      <c r="J53" s="6" t="s">
        <v>23</v>
      </c>
      <c r="K53" s="34" t="s">
        <v>6</v>
      </c>
      <c r="L53" s="34" t="s">
        <v>15</v>
      </c>
      <c r="M53" s="34" t="s">
        <v>9</v>
      </c>
      <c r="N53" s="34" t="s">
        <v>44</v>
      </c>
      <c r="O53" s="34" t="s">
        <v>51</v>
      </c>
      <c r="P53" s="34" t="s">
        <v>52</v>
      </c>
      <c r="Q53" s="34" t="s">
        <v>67</v>
      </c>
      <c r="R53" s="34" t="s">
        <v>68</v>
      </c>
      <c r="S53" s="34" t="s">
        <v>69</v>
      </c>
      <c r="T53" t="s">
        <v>24</v>
      </c>
      <c r="V53"/>
    </row>
    <row r="54" spans="1:22" x14ac:dyDescent="0.2">
      <c r="A54" s="4" t="s">
        <v>4</v>
      </c>
      <c r="B54" s="5">
        <v>45863</v>
      </c>
      <c r="C54" s="4" t="s">
        <v>10</v>
      </c>
      <c r="D54" s="4">
        <v>0.12459000000000001</v>
      </c>
      <c r="E54" s="4" t="s">
        <v>6</v>
      </c>
      <c r="J54" s="7" t="s">
        <v>7</v>
      </c>
      <c r="K54" s="8">
        <v>2.6199517999999991</v>
      </c>
      <c r="L54" s="24">
        <v>1.7050000000000001</v>
      </c>
      <c r="M54" s="8">
        <v>25.716169999999998</v>
      </c>
      <c r="N54" s="8">
        <v>2.1</v>
      </c>
      <c r="O54" s="8"/>
      <c r="P54" s="8"/>
      <c r="Q54" s="8"/>
      <c r="R54" s="8"/>
      <c r="S54" s="8"/>
      <c r="T54" s="36">
        <v>32.141121800000001</v>
      </c>
      <c r="V54"/>
    </row>
    <row r="55" spans="1:22" x14ac:dyDescent="0.2">
      <c r="A55" s="4" t="s">
        <v>4</v>
      </c>
      <c r="B55" s="5">
        <v>45863</v>
      </c>
      <c r="C55" s="4" t="s">
        <v>10</v>
      </c>
      <c r="D55" s="4">
        <v>-0.12459000000000001</v>
      </c>
      <c r="E55" s="4" t="s">
        <v>29</v>
      </c>
      <c r="J55" s="7" t="s">
        <v>14</v>
      </c>
      <c r="K55" s="39">
        <v>3243.0199999999968</v>
      </c>
      <c r="L55" s="39">
        <v>2620</v>
      </c>
      <c r="M55" s="8">
        <v>788</v>
      </c>
      <c r="N55" s="8"/>
      <c r="O55" s="25">
        <v>4000</v>
      </c>
      <c r="P55" s="25"/>
      <c r="Q55" s="25"/>
      <c r="R55" s="25"/>
      <c r="S55" s="25"/>
      <c r="T55" s="36">
        <v>10651.019999999997</v>
      </c>
      <c r="V55"/>
    </row>
    <row r="56" spans="1:22" x14ac:dyDescent="0.2">
      <c r="A56" s="4" t="s">
        <v>4</v>
      </c>
      <c r="B56" s="5">
        <v>45863</v>
      </c>
      <c r="C56" s="4" t="s">
        <v>10</v>
      </c>
      <c r="D56" s="4">
        <v>-0.12459000000000001</v>
      </c>
      <c r="E56" s="4" t="s">
        <v>6</v>
      </c>
      <c r="J56" s="7" t="s">
        <v>50</v>
      </c>
      <c r="K56" s="8"/>
      <c r="L56" s="8"/>
      <c r="M56" s="8"/>
      <c r="N56" s="8"/>
      <c r="O56" s="25">
        <v>51250</v>
      </c>
      <c r="P56" s="25">
        <v>38000</v>
      </c>
      <c r="Q56" s="25"/>
      <c r="R56" s="25"/>
      <c r="S56" s="25"/>
      <c r="T56" s="36">
        <v>89250</v>
      </c>
      <c r="V56"/>
    </row>
    <row r="57" spans="1:22" x14ac:dyDescent="0.2">
      <c r="A57" s="4" t="s">
        <v>14</v>
      </c>
      <c r="B57" s="5">
        <v>45863</v>
      </c>
      <c r="C57" s="4" t="s">
        <v>10</v>
      </c>
      <c r="D57" s="4">
        <v>14367</v>
      </c>
      <c r="E57" s="4" t="s">
        <v>6</v>
      </c>
      <c r="J57" s="7" t="s">
        <v>66</v>
      </c>
      <c r="K57" s="8"/>
      <c r="L57" s="8"/>
      <c r="M57" s="8"/>
      <c r="N57" s="8"/>
      <c r="O57" s="25"/>
      <c r="P57" s="25"/>
      <c r="Q57" s="25">
        <v>96</v>
      </c>
      <c r="R57" s="25"/>
      <c r="S57" s="25"/>
      <c r="T57" s="36">
        <v>96</v>
      </c>
      <c r="V57"/>
    </row>
    <row r="58" spans="1:22" x14ac:dyDescent="0.2">
      <c r="A58" s="4" t="s">
        <v>14</v>
      </c>
      <c r="B58" s="5">
        <v>45867</v>
      </c>
      <c r="C58" s="4" t="s">
        <v>10</v>
      </c>
      <c r="D58" s="4">
        <f>-20010+1083</f>
        <v>-18927</v>
      </c>
      <c r="E58" s="4" t="s">
        <v>9</v>
      </c>
      <c r="J58" s="7" t="s">
        <v>65</v>
      </c>
      <c r="K58" s="8"/>
      <c r="L58" s="8"/>
      <c r="M58" s="8"/>
      <c r="N58" s="8"/>
      <c r="O58" s="25"/>
      <c r="P58" s="25"/>
      <c r="Q58" s="25"/>
      <c r="R58" s="25">
        <v>3000000</v>
      </c>
      <c r="S58" s="25">
        <v>3320000</v>
      </c>
      <c r="T58" s="36">
        <v>6320000</v>
      </c>
      <c r="V58"/>
    </row>
    <row r="59" spans="1:22" x14ac:dyDescent="0.2">
      <c r="A59" s="4" t="s">
        <v>14</v>
      </c>
      <c r="B59" s="5">
        <v>45867</v>
      </c>
      <c r="C59" s="4" t="s">
        <v>5</v>
      </c>
      <c r="D59" s="4">
        <f>-1083+453</f>
        <v>-630</v>
      </c>
      <c r="E59" s="4" t="s">
        <v>9</v>
      </c>
      <c r="V59"/>
    </row>
    <row r="60" spans="1:22" x14ac:dyDescent="0.2">
      <c r="A60" s="4" t="s">
        <v>14</v>
      </c>
      <c r="B60" s="5">
        <v>45867</v>
      </c>
      <c r="C60" s="4" t="s">
        <v>10</v>
      </c>
      <c r="D60" s="4">
        <v>18927</v>
      </c>
      <c r="E60" s="4" t="s">
        <v>6</v>
      </c>
      <c r="V60"/>
    </row>
    <row r="61" spans="1:22" x14ac:dyDescent="0.2">
      <c r="A61" s="4" t="s">
        <v>14</v>
      </c>
      <c r="B61" s="5">
        <v>45867</v>
      </c>
      <c r="C61" s="4" t="s">
        <v>5</v>
      </c>
      <c r="D61" s="4">
        <v>630</v>
      </c>
      <c r="E61" s="4" t="s">
        <v>6</v>
      </c>
      <c r="V61"/>
    </row>
    <row r="62" spans="1:22" x14ac:dyDescent="0.2">
      <c r="A62" s="4" t="s">
        <v>7</v>
      </c>
      <c r="B62" s="5">
        <v>45870</v>
      </c>
      <c r="C62" s="4" t="s">
        <v>10</v>
      </c>
      <c r="D62" s="4">
        <v>-1.1659999999999999</v>
      </c>
      <c r="E62" s="4" t="s">
        <v>9</v>
      </c>
      <c r="F62" t="s">
        <v>30</v>
      </c>
      <c r="V62"/>
    </row>
    <row r="63" spans="1:22" x14ac:dyDescent="0.2">
      <c r="A63" t="s">
        <v>7</v>
      </c>
      <c r="B63" s="2">
        <v>45870</v>
      </c>
      <c r="C63" t="s">
        <v>8</v>
      </c>
      <c r="D63">
        <v>1.1659999999999999</v>
      </c>
      <c r="E63" t="s">
        <v>9</v>
      </c>
      <c r="F63" t="s">
        <v>30</v>
      </c>
      <c r="V63"/>
    </row>
    <row r="64" spans="1:22" x14ac:dyDescent="0.2">
      <c r="A64" s="4" t="s">
        <v>21</v>
      </c>
      <c r="B64" s="5">
        <v>45873</v>
      </c>
      <c r="C64" s="4" t="s">
        <v>10</v>
      </c>
      <c r="D64" s="4">
        <v>-6000</v>
      </c>
      <c r="E64" s="4" t="s">
        <v>29</v>
      </c>
      <c r="V64"/>
    </row>
    <row r="65" spans="1:22" x14ac:dyDescent="0.2">
      <c r="A65" s="4" t="s">
        <v>14</v>
      </c>
      <c r="B65" s="5">
        <v>45873</v>
      </c>
      <c r="C65" s="4" t="s">
        <v>10</v>
      </c>
      <c r="D65" s="4">
        <v>17965</v>
      </c>
      <c r="E65" s="4" t="s">
        <v>6</v>
      </c>
      <c r="V65"/>
    </row>
    <row r="66" spans="1:22" x14ac:dyDescent="0.2">
      <c r="A66" s="4" t="s">
        <v>31</v>
      </c>
      <c r="B66" s="5">
        <v>45873</v>
      </c>
      <c r="C66" s="4" t="s">
        <v>5</v>
      </c>
      <c r="D66" s="4">
        <v>11594</v>
      </c>
      <c r="E66" s="4" t="s">
        <v>34</v>
      </c>
      <c r="F66" s="4"/>
      <c r="V66"/>
    </row>
    <row r="67" spans="1:22" x14ac:dyDescent="0.2">
      <c r="A67" s="4" t="s">
        <v>31</v>
      </c>
      <c r="B67" s="5">
        <v>45873</v>
      </c>
      <c r="C67" s="4" t="s">
        <v>5</v>
      </c>
      <c r="D67" s="4">
        <v>1996</v>
      </c>
      <c r="E67" s="4" t="s">
        <v>33</v>
      </c>
      <c r="F67" s="4" t="s">
        <v>32</v>
      </c>
      <c r="V67"/>
    </row>
    <row r="68" spans="1:22" x14ac:dyDescent="0.2">
      <c r="A68" s="4" t="s">
        <v>14</v>
      </c>
      <c r="B68" s="5">
        <v>45873</v>
      </c>
      <c r="C68" s="4" t="s">
        <v>10</v>
      </c>
      <c r="D68" s="4">
        <v>-26700</v>
      </c>
      <c r="E68" s="4" t="s">
        <v>6</v>
      </c>
      <c r="V68"/>
    </row>
    <row r="69" spans="1:22" x14ac:dyDescent="0.2">
      <c r="A69" s="4" t="s">
        <v>7</v>
      </c>
      <c r="B69" s="5">
        <v>45873</v>
      </c>
      <c r="C69" s="4" t="s">
        <v>10</v>
      </c>
      <c r="D69" s="4">
        <f>7.9134-0.01403</f>
        <v>7.8993700000000002</v>
      </c>
      <c r="E69" s="4" t="s">
        <v>9</v>
      </c>
      <c r="V69"/>
    </row>
    <row r="70" spans="1:22" x14ac:dyDescent="0.2">
      <c r="A70" s="4" t="s">
        <v>14</v>
      </c>
      <c r="B70" s="5">
        <v>45874</v>
      </c>
      <c r="C70" s="4" t="s">
        <v>10</v>
      </c>
      <c r="D70" s="4">
        <v>-19489</v>
      </c>
      <c r="E70" s="4" t="s">
        <v>6</v>
      </c>
      <c r="V70"/>
    </row>
    <row r="71" spans="1:22" x14ac:dyDescent="0.2">
      <c r="A71" s="4" t="s">
        <v>7</v>
      </c>
      <c r="B71" s="5">
        <v>45874</v>
      </c>
      <c r="C71" s="4" t="s">
        <v>10</v>
      </c>
      <c r="D71" s="4">
        <v>5.7767999999999997</v>
      </c>
      <c r="E71" s="4" t="s">
        <v>9</v>
      </c>
    </row>
    <row r="72" spans="1:22" x14ac:dyDescent="0.2">
      <c r="A72" s="4" t="s">
        <v>14</v>
      </c>
      <c r="B72" s="2">
        <v>45878</v>
      </c>
      <c r="C72" s="4" t="s">
        <v>5</v>
      </c>
      <c r="D72">
        <f>-630</f>
        <v>-630</v>
      </c>
      <c r="E72" s="4" t="s">
        <v>6</v>
      </c>
    </row>
    <row r="73" spans="1:22" x14ac:dyDescent="0.2">
      <c r="A73" s="4" t="s">
        <v>36</v>
      </c>
      <c r="B73" s="2">
        <v>45878</v>
      </c>
      <c r="C73" s="4" t="s">
        <v>5</v>
      </c>
      <c r="D73">
        <v>0.16</v>
      </c>
      <c r="E73" s="4" t="s">
        <v>6</v>
      </c>
    </row>
    <row r="74" spans="1:22" x14ac:dyDescent="0.2">
      <c r="A74" s="4" t="s">
        <v>14</v>
      </c>
      <c r="B74" s="2">
        <v>45878</v>
      </c>
      <c r="C74" s="4" t="s">
        <v>10</v>
      </c>
      <c r="D74">
        <v>-5070</v>
      </c>
      <c r="E74" s="4" t="s">
        <v>6</v>
      </c>
    </row>
    <row r="75" spans="1:22" x14ac:dyDescent="0.2">
      <c r="A75" s="4" t="s">
        <v>36</v>
      </c>
      <c r="B75" s="2">
        <v>45878</v>
      </c>
      <c r="C75" s="4" t="s">
        <v>10</v>
      </c>
      <c r="D75">
        <f>1.4565-0.16</f>
        <v>1.2965</v>
      </c>
      <c r="E75" s="4" t="s">
        <v>6</v>
      </c>
    </row>
    <row r="76" spans="1:22" x14ac:dyDescent="0.2">
      <c r="A76" s="4" t="s">
        <v>14</v>
      </c>
      <c r="B76" s="2">
        <v>45878</v>
      </c>
      <c r="C76" s="4" t="s">
        <v>8</v>
      </c>
      <c r="D76">
        <v>-4975</v>
      </c>
      <c r="E76" s="4" t="s">
        <v>15</v>
      </c>
    </row>
    <row r="77" spans="1:22" x14ac:dyDescent="0.2">
      <c r="A77" s="4" t="s">
        <v>36</v>
      </c>
      <c r="B77" s="2">
        <v>45878</v>
      </c>
      <c r="C77" s="4" t="s">
        <v>8</v>
      </c>
      <c r="D77">
        <v>1.17</v>
      </c>
      <c r="E77" s="4" t="s">
        <v>15</v>
      </c>
    </row>
    <row r="78" spans="1:22" x14ac:dyDescent="0.2">
      <c r="A78" s="4" t="s">
        <v>31</v>
      </c>
      <c r="B78" s="5">
        <v>45879</v>
      </c>
      <c r="C78" s="4" t="s">
        <v>5</v>
      </c>
      <c r="D78" s="4">
        <v>-11594</v>
      </c>
      <c r="E78" s="4" t="s">
        <v>34</v>
      </c>
    </row>
    <row r="79" spans="1:22" s="4" customFormat="1" x14ac:dyDescent="0.2">
      <c r="A79" s="4" t="s">
        <v>36</v>
      </c>
      <c r="B79" s="5">
        <v>45879</v>
      </c>
      <c r="C79" s="4" t="s">
        <v>5</v>
      </c>
      <c r="D79" s="4">
        <v>2.79</v>
      </c>
      <c r="E79" s="4" t="s">
        <v>34</v>
      </c>
      <c r="V79" s="20"/>
    </row>
    <row r="80" spans="1:22" s="4" customFormat="1" x14ac:dyDescent="0.2">
      <c r="A80" s="4" t="s">
        <v>7</v>
      </c>
      <c r="B80" s="5">
        <v>45879</v>
      </c>
      <c r="C80" s="4" t="s">
        <v>10</v>
      </c>
      <c r="D80" s="4">
        <v>-4</v>
      </c>
      <c r="E80" s="4" t="s">
        <v>9</v>
      </c>
      <c r="V80" s="20"/>
    </row>
    <row r="81" spans="1:22" s="4" customFormat="1" x14ac:dyDescent="0.2">
      <c r="A81" s="4" t="s">
        <v>7</v>
      </c>
      <c r="B81" s="5">
        <v>45879</v>
      </c>
      <c r="C81" s="4" t="s">
        <v>10</v>
      </c>
      <c r="D81" s="4">
        <v>4</v>
      </c>
      <c r="E81" s="4" t="s">
        <v>6</v>
      </c>
      <c r="V81" s="20"/>
    </row>
    <row r="82" spans="1:22" s="4" customFormat="1" x14ac:dyDescent="0.2">
      <c r="A82" s="4" t="s">
        <v>7</v>
      </c>
      <c r="B82" s="5">
        <v>45879</v>
      </c>
      <c r="C82" s="4" t="s">
        <v>10</v>
      </c>
      <c r="D82" s="4">
        <v>-4</v>
      </c>
      <c r="E82" s="4" t="s">
        <v>6</v>
      </c>
      <c r="V82" s="20"/>
    </row>
    <row r="83" spans="1:22" s="4" customFormat="1" x14ac:dyDescent="0.2">
      <c r="A83" s="4" t="s">
        <v>36</v>
      </c>
      <c r="B83" s="5">
        <v>45879</v>
      </c>
      <c r="C83" s="4" t="s">
        <v>10</v>
      </c>
      <c r="D83" s="4">
        <f>3.2126-0.005</f>
        <v>3.2076000000000002</v>
      </c>
      <c r="E83" s="4" t="s">
        <v>6</v>
      </c>
      <c r="V83" s="20"/>
    </row>
    <row r="84" spans="1:22" s="4" customFormat="1" x14ac:dyDescent="0.2">
      <c r="A84" s="4" t="s">
        <v>7</v>
      </c>
      <c r="B84" s="5">
        <v>45884</v>
      </c>
      <c r="C84" s="4" t="s">
        <v>10</v>
      </c>
      <c r="D84" s="4">
        <v>-9</v>
      </c>
      <c r="E84" s="4" t="s">
        <v>9</v>
      </c>
      <c r="V84" s="20"/>
    </row>
    <row r="85" spans="1:22" s="4" customFormat="1" x14ac:dyDescent="0.2">
      <c r="A85" s="4" t="s">
        <v>7</v>
      </c>
      <c r="B85" s="5">
        <v>45884</v>
      </c>
      <c r="C85" s="4" t="s">
        <v>10</v>
      </c>
      <c r="D85" s="4">
        <v>9</v>
      </c>
      <c r="E85" s="4" t="s">
        <v>6</v>
      </c>
      <c r="V85" s="20"/>
    </row>
    <row r="86" spans="1:22" s="4" customFormat="1" x14ac:dyDescent="0.2">
      <c r="A86" s="4" t="s">
        <v>36</v>
      </c>
      <c r="B86" s="5">
        <v>45881</v>
      </c>
      <c r="C86" s="4" t="s">
        <v>10</v>
      </c>
      <c r="D86" s="4">
        <v>3.0139999999999998</v>
      </c>
      <c r="E86" s="4" t="s">
        <v>6</v>
      </c>
      <c r="V86" s="20"/>
    </row>
    <row r="87" spans="1:22" s="4" customFormat="1" x14ac:dyDescent="0.2">
      <c r="A87" s="4" t="s">
        <v>7</v>
      </c>
      <c r="B87" s="5">
        <v>45881</v>
      </c>
      <c r="C87" s="4" t="s">
        <v>10</v>
      </c>
      <c r="D87" s="4">
        <v>-4</v>
      </c>
      <c r="E87" s="4" t="s">
        <v>6</v>
      </c>
      <c r="V87" s="20"/>
    </row>
    <row r="88" spans="1:22" s="4" customFormat="1" x14ac:dyDescent="0.2">
      <c r="A88" s="4" t="s">
        <v>7</v>
      </c>
      <c r="B88" s="5">
        <v>45884</v>
      </c>
      <c r="C88" s="4" t="s">
        <v>10</v>
      </c>
      <c r="D88" s="4">
        <v>-5</v>
      </c>
      <c r="E88" s="4" t="s">
        <v>6</v>
      </c>
      <c r="V88" s="20"/>
    </row>
    <row r="89" spans="1:22" s="4" customFormat="1" x14ac:dyDescent="0.2">
      <c r="A89" s="4" t="s">
        <v>7</v>
      </c>
      <c r="B89" s="5">
        <v>45884</v>
      </c>
      <c r="C89" s="4" t="s">
        <v>10</v>
      </c>
      <c r="D89" s="4">
        <v>-4</v>
      </c>
      <c r="E89" s="4" t="s">
        <v>6</v>
      </c>
      <c r="V89" s="20"/>
    </row>
    <row r="90" spans="1:22" s="4" customFormat="1" x14ac:dyDescent="0.2">
      <c r="A90" s="4" t="s">
        <v>36</v>
      </c>
      <c r="B90" s="5">
        <v>45884</v>
      </c>
      <c r="C90" s="4" t="s">
        <v>10</v>
      </c>
      <c r="D90" s="4">
        <v>3.59</v>
      </c>
      <c r="E90" s="4" t="s">
        <v>6</v>
      </c>
      <c r="V90" s="20"/>
    </row>
    <row r="91" spans="1:22" s="4" customFormat="1" x14ac:dyDescent="0.2">
      <c r="A91" s="4" t="s">
        <v>36</v>
      </c>
      <c r="B91" s="5">
        <v>45884</v>
      </c>
      <c r="C91" s="4" t="s">
        <v>10</v>
      </c>
      <c r="D91" s="4">
        <v>-7.67</v>
      </c>
      <c r="E91" s="4" t="s">
        <v>6</v>
      </c>
      <c r="V91" s="20"/>
    </row>
    <row r="92" spans="1:22" s="4" customFormat="1" x14ac:dyDescent="0.2">
      <c r="A92" s="4" t="s">
        <v>36</v>
      </c>
      <c r="B92" s="5">
        <v>45884</v>
      </c>
      <c r="C92" s="4" t="s">
        <v>10</v>
      </c>
      <c r="D92" s="4">
        <v>6.62</v>
      </c>
      <c r="E92" s="4" t="s">
        <v>6</v>
      </c>
      <c r="V92" s="20"/>
    </row>
    <row r="93" spans="1:22" s="4" customFormat="1" x14ac:dyDescent="0.2">
      <c r="A93" s="4" t="s">
        <v>36</v>
      </c>
      <c r="B93" s="5">
        <v>45888</v>
      </c>
      <c r="C93" s="4" t="s">
        <v>10</v>
      </c>
      <c r="D93" s="4">
        <v>-10.0581</v>
      </c>
      <c r="E93" s="4" t="s">
        <v>6</v>
      </c>
      <c r="V93" s="20"/>
    </row>
    <row r="94" spans="1:22" s="4" customFormat="1" x14ac:dyDescent="0.2">
      <c r="A94" s="4" t="s">
        <v>36</v>
      </c>
      <c r="B94" s="5">
        <v>45888</v>
      </c>
      <c r="C94" s="4" t="s">
        <v>5</v>
      </c>
      <c r="D94" s="4">
        <v>-0.16</v>
      </c>
      <c r="E94" s="4" t="s">
        <v>6</v>
      </c>
      <c r="V94" s="20"/>
    </row>
    <row r="95" spans="1:22" s="4" customFormat="1" x14ac:dyDescent="0.2">
      <c r="A95" s="4" t="s">
        <v>14</v>
      </c>
      <c r="B95" s="5">
        <v>45888</v>
      </c>
      <c r="C95" s="4" t="s">
        <v>10</v>
      </c>
      <c r="D95" s="4">
        <f>-D93*4200</f>
        <v>42244.02</v>
      </c>
      <c r="E95" s="4" t="s">
        <v>6</v>
      </c>
      <c r="V95" s="20"/>
    </row>
    <row r="96" spans="1:22" s="4" customFormat="1" x14ac:dyDescent="0.2">
      <c r="A96" s="4" t="s">
        <v>14</v>
      </c>
      <c r="B96" s="5">
        <v>45888</v>
      </c>
      <c r="C96" s="4" t="s">
        <v>5</v>
      </c>
      <c r="D96" s="4">
        <f>-D94*4200</f>
        <v>672</v>
      </c>
      <c r="E96" s="4" t="s">
        <v>6</v>
      </c>
      <c r="V96" s="20"/>
    </row>
    <row r="97" spans="1:22" s="17" customFormat="1" x14ac:dyDescent="0.2">
      <c r="A97" s="17" t="s">
        <v>14</v>
      </c>
      <c r="B97" s="18">
        <v>45893</v>
      </c>
      <c r="C97" s="17" t="s">
        <v>10</v>
      </c>
      <c r="D97" s="17">
        <v>-20000</v>
      </c>
      <c r="E97" s="17" t="s">
        <v>6</v>
      </c>
      <c r="V97" s="19"/>
    </row>
    <row r="98" spans="1:22" s="17" customFormat="1" x14ac:dyDescent="0.2">
      <c r="A98" s="17" t="s">
        <v>37</v>
      </c>
      <c r="B98" s="18">
        <v>45893</v>
      </c>
      <c r="C98" s="17" t="s">
        <v>10</v>
      </c>
      <c r="D98" s="17">
        <f>95.568*0.999</f>
        <v>95.472431999999998</v>
      </c>
      <c r="E98" s="17" t="s">
        <v>6</v>
      </c>
      <c r="V98" s="19"/>
    </row>
    <row r="99" spans="1:22" s="17" customFormat="1" x14ac:dyDescent="0.2">
      <c r="A99" s="17" t="s">
        <v>14</v>
      </c>
      <c r="B99" s="18">
        <v>45893</v>
      </c>
      <c r="C99" s="17" t="s">
        <v>10</v>
      </c>
      <c r="D99" s="17">
        <v>-20000</v>
      </c>
      <c r="E99" s="17" t="s">
        <v>6</v>
      </c>
      <c r="V99" s="19"/>
    </row>
    <row r="100" spans="1:22" s="17" customFormat="1" x14ac:dyDescent="0.2">
      <c r="A100" s="17" t="s">
        <v>7</v>
      </c>
      <c r="B100" s="18">
        <v>45893</v>
      </c>
      <c r="C100" s="17" t="s">
        <v>10</v>
      </c>
      <c r="D100" s="17">
        <f>5.9482*0.999</f>
        <v>5.9422518000000002</v>
      </c>
      <c r="E100" s="17" t="s">
        <v>6</v>
      </c>
      <c r="V100" s="19"/>
    </row>
    <row r="101" spans="1:22" s="17" customFormat="1" x14ac:dyDescent="0.2">
      <c r="A101" s="17" t="s">
        <v>37</v>
      </c>
      <c r="B101" s="18">
        <v>45893</v>
      </c>
      <c r="C101" s="17" t="s">
        <v>10</v>
      </c>
      <c r="D101" s="17">
        <f>-95.568*0.999/2</f>
        <v>-47.736215999999999</v>
      </c>
      <c r="E101" s="17" t="s">
        <v>6</v>
      </c>
      <c r="V101" s="19"/>
    </row>
    <row r="102" spans="1:22" x14ac:dyDescent="0.2">
      <c r="A102" s="17" t="s">
        <v>37</v>
      </c>
      <c r="B102" s="18">
        <v>45893</v>
      </c>
      <c r="C102" s="17" t="s">
        <v>10</v>
      </c>
      <c r="D102" s="17">
        <f>95.568*0.999/2</f>
        <v>47.736215999999999</v>
      </c>
      <c r="E102" s="17" t="s">
        <v>38</v>
      </c>
    </row>
    <row r="103" spans="1:22" x14ac:dyDescent="0.2">
      <c r="A103" s="17" t="s">
        <v>37</v>
      </c>
      <c r="B103" s="18">
        <v>45893</v>
      </c>
      <c r="C103" s="17" t="s">
        <v>10</v>
      </c>
      <c r="D103" s="17">
        <f>-95.568*0.999/2</f>
        <v>-47.736215999999999</v>
      </c>
      <c r="E103" s="17" t="s">
        <v>38</v>
      </c>
    </row>
    <row r="104" spans="1:22" x14ac:dyDescent="0.2">
      <c r="A104" s="17" t="s">
        <v>31</v>
      </c>
      <c r="B104" s="18">
        <v>45893</v>
      </c>
      <c r="C104" s="17" t="s">
        <v>10</v>
      </c>
      <c r="D104" s="17">
        <v>8336</v>
      </c>
      <c r="E104" s="17" t="s">
        <v>38</v>
      </c>
    </row>
    <row r="105" spans="1:22" x14ac:dyDescent="0.2">
      <c r="A105" s="17" t="s">
        <v>39</v>
      </c>
      <c r="B105" s="18">
        <v>45893</v>
      </c>
      <c r="C105" s="17" t="s">
        <v>10</v>
      </c>
      <c r="D105" s="17">
        <v>4.4000000000000004</v>
      </c>
      <c r="E105" s="17" t="s">
        <v>29</v>
      </c>
    </row>
    <row r="106" spans="1:22" x14ac:dyDescent="0.2">
      <c r="A106" s="4" t="s">
        <v>7</v>
      </c>
      <c r="B106" s="5">
        <v>45881</v>
      </c>
      <c r="C106" s="4" t="s">
        <v>10</v>
      </c>
      <c r="D106" s="4">
        <v>-4</v>
      </c>
      <c r="E106" s="4" t="s">
        <v>9</v>
      </c>
    </row>
    <row r="107" spans="1:22" x14ac:dyDescent="0.2">
      <c r="A107" s="4" t="s">
        <v>7</v>
      </c>
      <c r="B107" s="5">
        <v>45881</v>
      </c>
      <c r="C107" s="4" t="s">
        <v>10</v>
      </c>
      <c r="D107" s="4">
        <v>4</v>
      </c>
      <c r="E107" s="4" t="s">
        <v>6</v>
      </c>
    </row>
    <row r="108" spans="1:22" x14ac:dyDescent="0.2">
      <c r="A108" s="17" t="s">
        <v>14</v>
      </c>
      <c r="B108" s="5">
        <v>45881</v>
      </c>
      <c r="C108" s="4" t="s">
        <v>10</v>
      </c>
      <c r="D108" s="17">
        <v>17756</v>
      </c>
      <c r="E108" s="17" t="s">
        <v>6</v>
      </c>
      <c r="F108" s="17" t="s">
        <v>40</v>
      </c>
    </row>
    <row r="109" spans="1:22" x14ac:dyDescent="0.2">
      <c r="A109" s="17" t="s">
        <v>36</v>
      </c>
      <c r="B109" s="2">
        <v>45894</v>
      </c>
      <c r="C109" s="4" t="s">
        <v>8</v>
      </c>
      <c r="D109" s="4">
        <v>-1.17</v>
      </c>
      <c r="E109" s="4" t="s">
        <v>15</v>
      </c>
    </row>
    <row r="110" spans="1:22" x14ac:dyDescent="0.2">
      <c r="A110" s="17" t="s">
        <v>14</v>
      </c>
      <c r="B110" s="2">
        <v>45894</v>
      </c>
      <c r="C110" s="4" t="s">
        <v>8</v>
      </c>
      <c r="D110" s="4">
        <v>5386</v>
      </c>
      <c r="E110" s="4" t="s">
        <v>15</v>
      </c>
    </row>
    <row r="111" spans="1:22" x14ac:dyDescent="0.2">
      <c r="A111" s="17" t="s">
        <v>36</v>
      </c>
      <c r="B111" s="2">
        <v>45894</v>
      </c>
      <c r="C111" s="4" t="s">
        <v>5</v>
      </c>
      <c r="D111" s="4">
        <v>-2.79</v>
      </c>
      <c r="E111" s="4" t="s">
        <v>34</v>
      </c>
    </row>
    <row r="112" spans="1:22" x14ac:dyDescent="0.2">
      <c r="A112" s="17" t="s">
        <v>14</v>
      </c>
      <c r="B112" s="2">
        <v>45894</v>
      </c>
      <c r="C112" s="4" t="s">
        <v>5</v>
      </c>
      <c r="D112" s="4">
        <v>12827</v>
      </c>
      <c r="E112" s="4" t="s">
        <v>34</v>
      </c>
    </row>
    <row r="113" spans="1:5" x14ac:dyDescent="0.2">
      <c r="A113" s="17" t="s">
        <v>14</v>
      </c>
      <c r="B113" s="5">
        <v>45895</v>
      </c>
      <c r="C113" s="4" t="s">
        <v>10</v>
      </c>
      <c r="D113" s="17">
        <v>-20000</v>
      </c>
      <c r="E113" s="17" t="s">
        <v>6</v>
      </c>
    </row>
    <row r="114" spans="1:5" x14ac:dyDescent="0.2">
      <c r="A114" s="17" t="s">
        <v>14</v>
      </c>
      <c r="B114" s="5">
        <v>45895</v>
      </c>
      <c r="C114" s="4" t="s">
        <v>10</v>
      </c>
      <c r="D114" s="17">
        <v>20000</v>
      </c>
      <c r="E114" s="17" t="s">
        <v>9</v>
      </c>
    </row>
    <row r="115" spans="1:5" x14ac:dyDescent="0.2">
      <c r="A115" s="17" t="s">
        <v>31</v>
      </c>
      <c r="B115" s="2">
        <v>45895</v>
      </c>
      <c r="C115" s="4" t="s">
        <v>10</v>
      </c>
      <c r="D115" s="4">
        <v>-8336</v>
      </c>
      <c r="E115" s="4" t="s">
        <v>38</v>
      </c>
    </row>
    <row r="116" spans="1:5" x14ac:dyDescent="0.2">
      <c r="A116" s="17" t="s">
        <v>39</v>
      </c>
      <c r="B116" s="2">
        <v>45895</v>
      </c>
      <c r="C116" s="4" t="s">
        <v>10</v>
      </c>
      <c r="D116">
        <f>26.6-4.4</f>
        <v>22.200000000000003</v>
      </c>
      <c r="E116" s="4" t="s">
        <v>29</v>
      </c>
    </row>
    <row r="117" spans="1:5" x14ac:dyDescent="0.2">
      <c r="A117" s="17" t="s">
        <v>14</v>
      </c>
      <c r="B117" s="2">
        <v>45897</v>
      </c>
      <c r="C117" s="4" t="s">
        <v>8</v>
      </c>
      <c r="D117">
        <v>-5386</v>
      </c>
      <c r="E117" s="4" t="s">
        <v>15</v>
      </c>
    </row>
    <row r="118" spans="1:5" x14ac:dyDescent="0.2">
      <c r="A118" s="17" t="s">
        <v>37</v>
      </c>
      <c r="B118" s="2">
        <v>45897</v>
      </c>
      <c r="C118" s="4" t="s">
        <v>8</v>
      </c>
      <c r="D118">
        <v>25.07</v>
      </c>
      <c r="E118" s="4" t="s">
        <v>15</v>
      </c>
    </row>
    <row r="119" spans="1:5" x14ac:dyDescent="0.2">
      <c r="A119" s="17" t="s">
        <v>14</v>
      </c>
      <c r="B119" s="2">
        <v>45897</v>
      </c>
      <c r="C119" s="4" t="s">
        <v>5</v>
      </c>
      <c r="D119">
        <v>-5600</v>
      </c>
      <c r="E119" s="4" t="s">
        <v>34</v>
      </c>
    </row>
    <row r="120" spans="1:5" x14ac:dyDescent="0.2">
      <c r="A120" s="17" t="s">
        <v>41</v>
      </c>
      <c r="B120" s="2">
        <v>45897</v>
      </c>
      <c r="C120" s="4" t="s">
        <v>5</v>
      </c>
      <c r="D120">
        <v>16.72</v>
      </c>
      <c r="E120" s="4" t="s">
        <v>15</v>
      </c>
    </row>
    <row r="121" spans="1:5" x14ac:dyDescent="0.2">
      <c r="A121" s="17" t="s">
        <v>41</v>
      </c>
      <c r="B121" s="2">
        <v>45897</v>
      </c>
      <c r="C121" s="4" t="s">
        <v>5</v>
      </c>
      <c r="D121">
        <v>-16.72</v>
      </c>
      <c r="E121" s="4" t="s">
        <v>15</v>
      </c>
    </row>
    <row r="122" spans="1:5" x14ac:dyDescent="0.2">
      <c r="A122" s="17" t="s">
        <v>41</v>
      </c>
      <c r="B122" s="2">
        <v>45897</v>
      </c>
      <c r="C122" s="4" t="s">
        <v>5</v>
      </c>
      <c r="D122">
        <v>16.72</v>
      </c>
      <c r="E122" s="4" t="s">
        <v>42</v>
      </c>
    </row>
    <row r="123" spans="1:5" x14ac:dyDescent="0.2">
      <c r="A123" s="17" t="s">
        <v>41</v>
      </c>
      <c r="B123" s="2">
        <v>45897</v>
      </c>
      <c r="C123" s="4" t="s">
        <v>5</v>
      </c>
      <c r="D123">
        <v>-8.35</v>
      </c>
      <c r="E123" s="4" t="s">
        <v>42</v>
      </c>
    </row>
    <row r="124" spans="1:5" x14ac:dyDescent="0.2">
      <c r="A124" s="21" t="s">
        <v>43</v>
      </c>
      <c r="B124" s="23">
        <v>45897</v>
      </c>
      <c r="C124" s="22" t="s">
        <v>5</v>
      </c>
      <c r="D124" s="22">
        <v>8.35</v>
      </c>
      <c r="E124" s="4" t="s">
        <v>42</v>
      </c>
    </row>
    <row r="125" spans="1:5" x14ac:dyDescent="0.2">
      <c r="A125" s="17" t="s">
        <v>41</v>
      </c>
      <c r="B125" s="2">
        <v>45898</v>
      </c>
      <c r="C125" s="4" t="s">
        <v>5</v>
      </c>
      <c r="D125">
        <v>-8.3699999999999992</v>
      </c>
      <c r="E125" s="4" t="s">
        <v>42</v>
      </c>
    </row>
    <row r="126" spans="1:5" x14ac:dyDescent="0.2">
      <c r="A126" s="21" t="s">
        <v>43</v>
      </c>
      <c r="B126" s="2">
        <v>45898</v>
      </c>
      <c r="C126" s="22" t="s">
        <v>5</v>
      </c>
      <c r="D126" s="22">
        <v>8.35</v>
      </c>
      <c r="E126" s="4" t="s">
        <v>42</v>
      </c>
    </row>
    <row r="127" spans="1:5" x14ac:dyDescent="0.2">
      <c r="A127" s="17" t="s">
        <v>37</v>
      </c>
      <c r="B127" s="2">
        <v>45899</v>
      </c>
      <c r="C127" s="4" t="s">
        <v>10</v>
      </c>
      <c r="D127" s="17">
        <v>-47.736215999999999</v>
      </c>
      <c r="E127" s="17" t="s">
        <v>6</v>
      </c>
    </row>
    <row r="128" spans="1:5" x14ac:dyDescent="0.2">
      <c r="A128" s="17" t="s">
        <v>14</v>
      </c>
      <c r="B128" s="2">
        <v>45899</v>
      </c>
      <c r="C128" s="4" t="s">
        <v>10</v>
      </c>
      <c r="D128" s="17">
        <v>9850</v>
      </c>
      <c r="E128" s="17" t="s">
        <v>6</v>
      </c>
    </row>
    <row r="129" spans="1:5" x14ac:dyDescent="0.2">
      <c r="A129" s="17" t="s">
        <v>37</v>
      </c>
      <c r="B129" s="2">
        <v>45899</v>
      </c>
      <c r="C129" s="4" t="s">
        <v>8</v>
      </c>
      <c r="D129">
        <v>-25.07</v>
      </c>
      <c r="E129" s="4" t="s">
        <v>15</v>
      </c>
    </row>
    <row r="130" spans="1:5" x14ac:dyDescent="0.2">
      <c r="A130" s="17" t="s">
        <v>14</v>
      </c>
      <c r="B130" s="2">
        <v>45899</v>
      </c>
      <c r="C130" s="4" t="s">
        <v>8</v>
      </c>
      <c r="D130">
        <v>5165</v>
      </c>
      <c r="E130" s="4" t="s">
        <v>15</v>
      </c>
    </row>
    <row r="131" spans="1:5" x14ac:dyDescent="0.2">
      <c r="A131" s="17" t="s">
        <v>14</v>
      </c>
      <c r="B131" s="2">
        <v>45899</v>
      </c>
      <c r="C131" s="4" t="s">
        <v>5</v>
      </c>
      <c r="D131">
        <v>-7227</v>
      </c>
      <c r="E131" s="4" t="s">
        <v>34</v>
      </c>
    </row>
    <row r="132" spans="1:5" x14ac:dyDescent="0.2">
      <c r="A132" s="17" t="s">
        <v>7</v>
      </c>
      <c r="B132" s="2">
        <v>45899</v>
      </c>
      <c r="C132" s="4" t="s">
        <v>5</v>
      </c>
      <c r="D132">
        <v>2.1</v>
      </c>
      <c r="E132" s="4" t="s">
        <v>44</v>
      </c>
    </row>
    <row r="133" spans="1:5" x14ac:dyDescent="0.2">
      <c r="A133" s="17" t="s">
        <v>14</v>
      </c>
      <c r="B133" s="2">
        <v>45899</v>
      </c>
      <c r="C133" s="4" t="s">
        <v>8</v>
      </c>
      <c r="D133">
        <v>-5165</v>
      </c>
      <c r="E133" s="4" t="s">
        <v>15</v>
      </c>
    </row>
    <row r="134" spans="1:5" x14ac:dyDescent="0.2">
      <c r="A134" s="17" t="s">
        <v>7</v>
      </c>
      <c r="B134" s="2">
        <v>45899</v>
      </c>
      <c r="C134" s="4" t="s">
        <v>8</v>
      </c>
      <c r="D134">
        <v>1.4930000000000001</v>
      </c>
      <c r="E134" s="4" t="s">
        <v>15</v>
      </c>
    </row>
    <row r="135" spans="1:5" x14ac:dyDescent="0.2">
      <c r="A135" s="17" t="s">
        <v>14</v>
      </c>
      <c r="B135" s="2">
        <v>45899</v>
      </c>
      <c r="C135" s="4" t="s">
        <v>10</v>
      </c>
      <c r="D135">
        <v>-9850</v>
      </c>
      <c r="E135" s="4" t="s">
        <v>6</v>
      </c>
    </row>
    <row r="136" spans="1:5" x14ac:dyDescent="0.2">
      <c r="A136" s="17" t="s">
        <v>7</v>
      </c>
      <c r="B136" s="2">
        <v>45899</v>
      </c>
      <c r="C136" s="4" t="s">
        <v>10</v>
      </c>
      <c r="D136">
        <v>2.8740000000000001</v>
      </c>
      <c r="E136" s="4" t="s">
        <v>6</v>
      </c>
    </row>
    <row r="137" spans="1:5" x14ac:dyDescent="0.2">
      <c r="A137" s="17" t="s">
        <v>7</v>
      </c>
      <c r="B137" s="2">
        <v>45899</v>
      </c>
      <c r="C137" s="4" t="s">
        <v>5</v>
      </c>
      <c r="D137">
        <v>-1.4450000000000001</v>
      </c>
      <c r="E137" s="4" t="s">
        <v>44</v>
      </c>
    </row>
    <row r="138" spans="1:5" x14ac:dyDescent="0.2">
      <c r="A138" s="17" t="s">
        <v>7</v>
      </c>
      <c r="B138" s="2">
        <v>45899</v>
      </c>
      <c r="C138" s="4" t="s">
        <v>10</v>
      </c>
      <c r="D138">
        <v>1.4450000000000001</v>
      </c>
      <c r="E138" s="4" t="s">
        <v>44</v>
      </c>
    </row>
    <row r="139" spans="1:5" x14ac:dyDescent="0.2">
      <c r="A139" s="17" t="s">
        <v>14</v>
      </c>
      <c r="B139" s="2">
        <v>45899</v>
      </c>
      <c r="C139" s="4" t="s">
        <v>10</v>
      </c>
      <c r="D139">
        <v>-5000</v>
      </c>
      <c r="E139" s="4" t="s">
        <v>9</v>
      </c>
    </row>
    <row r="140" spans="1:5" x14ac:dyDescent="0.2">
      <c r="A140" s="17" t="s">
        <v>14</v>
      </c>
      <c r="B140" s="2">
        <v>45899</v>
      </c>
      <c r="C140" s="4" t="s">
        <v>5</v>
      </c>
      <c r="D140">
        <v>5000</v>
      </c>
      <c r="E140" s="4" t="s">
        <v>9</v>
      </c>
    </row>
    <row r="141" spans="1:5" x14ac:dyDescent="0.2">
      <c r="A141" s="17" t="s">
        <v>14</v>
      </c>
      <c r="B141" s="2">
        <v>45899</v>
      </c>
      <c r="C141" s="4" t="s">
        <v>5</v>
      </c>
      <c r="D141">
        <v>-5000</v>
      </c>
      <c r="E141" s="4" t="s">
        <v>9</v>
      </c>
    </row>
    <row r="142" spans="1:5" x14ac:dyDescent="0.2">
      <c r="A142" s="21" t="s">
        <v>43</v>
      </c>
      <c r="B142" s="2">
        <v>45899</v>
      </c>
      <c r="C142" s="22" t="s">
        <v>5</v>
      </c>
      <c r="D142" s="22">
        <v>15.44</v>
      </c>
      <c r="E142" s="4" t="s">
        <v>42</v>
      </c>
    </row>
    <row r="143" spans="1:5" x14ac:dyDescent="0.2">
      <c r="A143" s="21" t="s">
        <v>43</v>
      </c>
      <c r="B143" s="2">
        <v>45906</v>
      </c>
      <c r="C143" s="22" t="s">
        <v>5</v>
      </c>
      <c r="D143" s="22">
        <f>-15.44-16.7</f>
        <v>-32.14</v>
      </c>
      <c r="E143" s="4" t="s">
        <v>42</v>
      </c>
    </row>
    <row r="144" spans="1:5" x14ac:dyDescent="0.2">
      <c r="A144" s="17" t="s">
        <v>14</v>
      </c>
      <c r="B144" s="2">
        <v>45906</v>
      </c>
      <c r="C144" s="22" t="s">
        <v>5</v>
      </c>
      <c r="D144">
        <v>9998</v>
      </c>
      <c r="E144" s="4" t="s">
        <v>15</v>
      </c>
    </row>
    <row r="145" spans="1:6" x14ac:dyDescent="0.2">
      <c r="A145" s="17" t="s">
        <v>14</v>
      </c>
      <c r="B145" s="2">
        <v>45908</v>
      </c>
      <c r="C145" s="22" t="s">
        <v>5</v>
      </c>
      <c r="D145">
        <v>-4000</v>
      </c>
      <c r="E145" s="4" t="s">
        <v>9</v>
      </c>
      <c r="F145" t="s">
        <v>45</v>
      </c>
    </row>
    <row r="146" spans="1:6" x14ac:dyDescent="0.2">
      <c r="A146" s="17" t="s">
        <v>14</v>
      </c>
      <c r="B146" s="2">
        <v>45908</v>
      </c>
      <c r="C146" s="22" t="s">
        <v>8</v>
      </c>
      <c r="D146">
        <v>4000</v>
      </c>
      <c r="E146" s="4" t="s">
        <v>9</v>
      </c>
      <c r="F146" t="s">
        <v>45</v>
      </c>
    </row>
    <row r="147" spans="1:6" x14ac:dyDescent="0.2">
      <c r="A147" s="17" t="s">
        <v>14</v>
      </c>
      <c r="B147" s="2">
        <v>45909</v>
      </c>
      <c r="C147" s="22" t="s">
        <v>5</v>
      </c>
      <c r="D147">
        <v>-9998</v>
      </c>
      <c r="E147" s="4" t="s">
        <v>15</v>
      </c>
    </row>
    <row r="148" spans="1:6" x14ac:dyDescent="0.2">
      <c r="A148" s="17" t="s">
        <v>37</v>
      </c>
      <c r="B148" s="2">
        <v>45909</v>
      </c>
      <c r="C148" s="22" t="s">
        <v>5</v>
      </c>
      <c r="D148">
        <v>45.756</v>
      </c>
      <c r="E148" s="4" t="s">
        <v>15</v>
      </c>
    </row>
    <row r="149" spans="1:6" x14ac:dyDescent="0.2">
      <c r="A149" s="17" t="s">
        <v>7</v>
      </c>
      <c r="B149" s="2">
        <v>45909</v>
      </c>
      <c r="C149" s="22" t="s">
        <v>10</v>
      </c>
      <c r="D149">
        <v>-5.48</v>
      </c>
      <c r="E149" s="4" t="s">
        <v>6</v>
      </c>
    </row>
    <row r="150" spans="1:6" x14ac:dyDescent="0.2">
      <c r="A150" s="17" t="s">
        <v>37</v>
      </c>
      <c r="B150" s="2">
        <v>45909</v>
      </c>
      <c r="C150" s="22" t="s">
        <v>10</v>
      </c>
      <c r="D150">
        <v>91.194999999999993</v>
      </c>
      <c r="E150" s="4" t="s">
        <v>6</v>
      </c>
    </row>
    <row r="151" spans="1:6" x14ac:dyDescent="0.2">
      <c r="A151" s="17" t="s">
        <v>39</v>
      </c>
      <c r="B151" s="2">
        <v>45909</v>
      </c>
      <c r="C151" s="22" t="s">
        <v>10</v>
      </c>
      <c r="D151">
        <v>-26.6</v>
      </c>
      <c r="E151" s="4" t="s">
        <v>29</v>
      </c>
    </row>
    <row r="152" spans="1:6" x14ac:dyDescent="0.2">
      <c r="A152" s="17" t="s">
        <v>37</v>
      </c>
      <c r="B152" s="2">
        <v>45909</v>
      </c>
      <c r="C152" s="22" t="s">
        <v>10</v>
      </c>
      <c r="D152">
        <v>45.4</v>
      </c>
      <c r="E152" s="4" t="s">
        <v>38</v>
      </c>
    </row>
    <row r="153" spans="1:6" x14ac:dyDescent="0.2">
      <c r="A153" s="17" t="s">
        <v>7</v>
      </c>
      <c r="B153" s="2">
        <v>45910</v>
      </c>
      <c r="C153" s="22" t="s">
        <v>10</v>
      </c>
      <c r="D153">
        <v>-3.3363</v>
      </c>
      <c r="E153" s="4" t="s">
        <v>6</v>
      </c>
    </row>
    <row r="154" spans="1:6" x14ac:dyDescent="0.2">
      <c r="A154" s="17" t="s">
        <v>37</v>
      </c>
      <c r="B154" s="2">
        <v>45910</v>
      </c>
      <c r="C154" s="22" t="s">
        <v>10</v>
      </c>
      <c r="D154">
        <v>54.341000000000001</v>
      </c>
      <c r="E154" s="4" t="s">
        <v>6</v>
      </c>
    </row>
    <row r="155" spans="1:6" x14ac:dyDescent="0.2">
      <c r="A155" s="17" t="s">
        <v>14</v>
      </c>
      <c r="B155" s="2">
        <v>45910</v>
      </c>
      <c r="C155" s="22" t="s">
        <v>10</v>
      </c>
      <c r="D155">
        <v>-10000</v>
      </c>
      <c r="E155" s="4" t="s">
        <v>9</v>
      </c>
    </row>
    <row r="156" spans="1:6" x14ac:dyDescent="0.2">
      <c r="A156" s="17" t="s">
        <v>37</v>
      </c>
      <c r="B156" s="2">
        <v>45910</v>
      </c>
      <c r="C156" s="22" t="s">
        <v>10</v>
      </c>
      <c r="D156">
        <v>44.53</v>
      </c>
      <c r="E156" s="4" t="s">
        <v>6</v>
      </c>
    </row>
    <row r="157" spans="1:6" x14ac:dyDescent="0.2">
      <c r="A157" s="17" t="s">
        <v>31</v>
      </c>
      <c r="B157" s="2">
        <v>45911</v>
      </c>
      <c r="C157" s="22" t="s">
        <v>5</v>
      </c>
      <c r="D157">
        <v>-1996</v>
      </c>
      <c r="E157" s="4" t="s">
        <v>33</v>
      </c>
      <c r="F157" t="s">
        <v>46</v>
      </c>
    </row>
    <row r="158" spans="1:6" x14ac:dyDescent="0.2">
      <c r="A158" s="17" t="s">
        <v>14</v>
      </c>
      <c r="B158" s="2">
        <v>45911</v>
      </c>
      <c r="C158" s="22" t="s">
        <v>8</v>
      </c>
      <c r="D158">
        <v>-1900</v>
      </c>
      <c r="E158" s="4" t="s">
        <v>9</v>
      </c>
      <c r="F158" t="s">
        <v>47</v>
      </c>
    </row>
    <row r="159" spans="1:6" x14ac:dyDescent="0.2">
      <c r="A159" s="17" t="s">
        <v>14</v>
      </c>
      <c r="B159" s="2">
        <v>45911</v>
      </c>
      <c r="C159" s="22" t="s">
        <v>5</v>
      </c>
      <c r="D159">
        <v>1900</v>
      </c>
      <c r="E159" s="4" t="s">
        <v>9</v>
      </c>
      <c r="F159" t="s">
        <v>46</v>
      </c>
    </row>
    <row r="160" spans="1:6" x14ac:dyDescent="0.2">
      <c r="A160" s="4" t="s">
        <v>14</v>
      </c>
      <c r="B160" s="2">
        <v>45912</v>
      </c>
      <c r="C160" s="22" t="s">
        <v>8</v>
      </c>
      <c r="D160">
        <v>-2000</v>
      </c>
      <c r="E160" s="4" t="s">
        <v>9</v>
      </c>
    </row>
    <row r="161" spans="1:14" x14ac:dyDescent="0.2">
      <c r="A161" s="4" t="s">
        <v>14</v>
      </c>
      <c r="B161" s="2">
        <v>45912</v>
      </c>
      <c r="C161" s="22" t="s">
        <v>10</v>
      </c>
      <c r="D161">
        <v>-5000</v>
      </c>
      <c r="E161" s="4" t="s">
        <v>9</v>
      </c>
    </row>
    <row r="162" spans="1:14" x14ac:dyDescent="0.2">
      <c r="A162" s="4" t="s">
        <v>14</v>
      </c>
      <c r="B162" s="2">
        <v>45912</v>
      </c>
      <c r="C162" s="22" t="s">
        <v>5</v>
      </c>
      <c r="D162">
        <v>-7000</v>
      </c>
      <c r="E162" s="4" t="s">
        <v>9</v>
      </c>
    </row>
    <row r="163" spans="1:14" x14ac:dyDescent="0.2">
      <c r="A163" s="4" t="s">
        <v>37</v>
      </c>
      <c r="B163" s="2">
        <v>45912</v>
      </c>
      <c r="C163" s="22" t="s">
        <v>8</v>
      </c>
      <c r="D163">
        <v>8.3699999999999992</v>
      </c>
      <c r="E163" s="4" t="s">
        <v>15</v>
      </c>
    </row>
    <row r="164" spans="1:14" x14ac:dyDescent="0.2">
      <c r="A164" s="4" t="s">
        <v>37</v>
      </c>
      <c r="B164" s="2">
        <v>45912</v>
      </c>
      <c r="C164" s="22" t="s">
        <v>10</v>
      </c>
      <c r="D164">
        <v>20.93</v>
      </c>
      <c r="E164" s="4" t="s">
        <v>15</v>
      </c>
    </row>
    <row r="165" spans="1:14" x14ac:dyDescent="0.2">
      <c r="A165" s="4" t="s">
        <v>37</v>
      </c>
      <c r="B165" s="2">
        <v>45912</v>
      </c>
      <c r="C165" s="22" t="s">
        <v>5</v>
      </c>
      <c r="D165">
        <v>29.31</v>
      </c>
      <c r="E165" s="4" t="s">
        <v>15</v>
      </c>
    </row>
    <row r="166" spans="1:14" x14ac:dyDescent="0.2">
      <c r="A166" s="4" t="s">
        <v>37</v>
      </c>
      <c r="B166" s="2">
        <v>45918</v>
      </c>
      <c r="C166" s="22" t="s">
        <v>10</v>
      </c>
      <c r="D166">
        <v>-100</v>
      </c>
      <c r="E166" s="4" t="s">
        <v>6</v>
      </c>
    </row>
    <row r="167" spans="1:14" x14ac:dyDescent="0.2">
      <c r="A167" s="4" t="s">
        <v>48</v>
      </c>
      <c r="B167" s="2">
        <v>45918</v>
      </c>
      <c r="C167" s="22" t="s">
        <v>10</v>
      </c>
      <c r="D167">
        <v>747.63</v>
      </c>
      <c r="E167" s="4" t="s">
        <v>6</v>
      </c>
    </row>
    <row r="168" spans="1:14" x14ac:dyDescent="0.2">
      <c r="A168" s="4" t="s">
        <v>48</v>
      </c>
      <c r="B168" s="2">
        <v>45922</v>
      </c>
      <c r="C168" s="22" t="s">
        <v>10</v>
      </c>
      <c r="D168">
        <v>-747.63</v>
      </c>
      <c r="E168" s="4" t="s">
        <v>6</v>
      </c>
    </row>
    <row r="169" spans="1:14" x14ac:dyDescent="0.2">
      <c r="A169" s="4" t="s">
        <v>14</v>
      </c>
      <c r="B169" s="2">
        <v>45922</v>
      </c>
      <c r="C169" s="22" t="s">
        <v>10</v>
      </c>
      <c r="D169">
        <v>22690</v>
      </c>
      <c r="E169" s="4" t="s">
        <v>6</v>
      </c>
    </row>
    <row r="170" spans="1:14" x14ac:dyDescent="0.2">
      <c r="A170" s="4" t="s">
        <v>37</v>
      </c>
      <c r="B170" s="2">
        <v>45918</v>
      </c>
      <c r="C170" s="22" t="s">
        <v>10</v>
      </c>
      <c r="D170">
        <v>-90.066000000000003</v>
      </c>
      <c r="E170" s="4" t="s">
        <v>6</v>
      </c>
    </row>
    <row r="171" spans="1:14" x14ac:dyDescent="0.2">
      <c r="A171" s="4" t="s">
        <v>14</v>
      </c>
      <c r="B171" s="2">
        <v>45918</v>
      </c>
      <c r="C171" s="22" t="s">
        <v>10</v>
      </c>
      <c r="D171">
        <v>20443</v>
      </c>
      <c r="E171" s="4" t="s">
        <v>6</v>
      </c>
    </row>
    <row r="172" spans="1:14" x14ac:dyDescent="0.2">
      <c r="A172" s="4" t="s">
        <v>49</v>
      </c>
      <c r="B172" s="2">
        <v>45922</v>
      </c>
      <c r="C172" s="22" t="s">
        <v>10</v>
      </c>
      <c r="D172">
        <v>-269.83</v>
      </c>
      <c r="E172" s="4" t="s">
        <v>13</v>
      </c>
    </row>
    <row r="173" spans="1:14" x14ac:dyDescent="0.2">
      <c r="A173" s="4" t="s">
        <v>37</v>
      </c>
      <c r="B173" s="2">
        <v>45918</v>
      </c>
      <c r="C173" s="22" t="s">
        <v>5</v>
      </c>
      <c r="D173">
        <v>-75.066000000000003</v>
      </c>
      <c r="E173" s="4" t="s">
        <v>15</v>
      </c>
    </row>
    <row r="174" spans="1:14" x14ac:dyDescent="0.2">
      <c r="A174" s="4" t="s">
        <v>37</v>
      </c>
      <c r="B174" s="2">
        <v>45918</v>
      </c>
      <c r="C174" s="22" t="s">
        <v>10</v>
      </c>
      <c r="D174">
        <v>-20.93</v>
      </c>
      <c r="E174" s="4" t="s">
        <v>15</v>
      </c>
      <c r="I174" s="40" t="s">
        <v>55</v>
      </c>
      <c r="J174" s="41"/>
      <c r="K174" s="41"/>
      <c r="L174" s="41"/>
      <c r="M174" s="41"/>
      <c r="N174" s="42"/>
    </row>
    <row r="175" spans="1:14" x14ac:dyDescent="0.2">
      <c r="A175" s="4" t="s">
        <v>37</v>
      </c>
      <c r="B175" s="2">
        <v>45918</v>
      </c>
      <c r="C175" s="22" t="s">
        <v>8</v>
      </c>
      <c r="D175">
        <v>-8.3699999999999992</v>
      </c>
      <c r="E175" s="4" t="s">
        <v>15</v>
      </c>
      <c r="I175" s="27"/>
      <c r="J175" s="28"/>
      <c r="K175" s="28"/>
      <c r="L175" s="28"/>
      <c r="M175" s="28"/>
      <c r="N175" s="29"/>
    </row>
    <row r="176" spans="1:14" x14ac:dyDescent="0.2">
      <c r="A176" s="4" t="s">
        <v>14</v>
      </c>
      <c r="B176" s="2">
        <v>45918</v>
      </c>
      <c r="C176" s="22" t="s">
        <v>5</v>
      </c>
      <c r="D176">
        <v>17039</v>
      </c>
      <c r="E176" s="4" t="s">
        <v>15</v>
      </c>
      <c r="I176" s="27"/>
      <c r="J176" s="28" t="s">
        <v>56</v>
      </c>
      <c r="K176" s="28"/>
      <c r="L176" s="28">
        <v>-24000</v>
      </c>
      <c r="M176" s="28"/>
      <c r="N176" s="29"/>
    </row>
    <row r="177" spans="1:21" x14ac:dyDescent="0.2">
      <c r="A177" s="4" t="s">
        <v>14</v>
      </c>
      <c r="B177" s="2">
        <v>45918</v>
      </c>
      <c r="C177" s="22" t="s">
        <v>10</v>
      </c>
      <c r="D177">
        <v>4751</v>
      </c>
      <c r="E177" s="4" t="s">
        <v>15</v>
      </c>
      <c r="I177" s="27"/>
      <c r="J177" s="28"/>
      <c r="K177" s="28" t="s">
        <v>51</v>
      </c>
      <c r="L177" s="28"/>
      <c r="M177" s="28">
        <v>4000</v>
      </c>
      <c r="N177" s="29"/>
    </row>
    <row r="178" spans="1:21" x14ac:dyDescent="0.2">
      <c r="A178" s="4" t="s">
        <v>14</v>
      </c>
      <c r="B178" s="2">
        <v>45918</v>
      </c>
      <c r="C178" s="22" t="s">
        <v>8</v>
      </c>
      <c r="D178">
        <v>1899</v>
      </c>
      <c r="E178" s="4" t="s">
        <v>15</v>
      </c>
      <c r="I178" s="27"/>
      <c r="J178" s="28"/>
      <c r="K178" s="28" t="s">
        <v>52</v>
      </c>
      <c r="L178" s="28"/>
      <c r="M178" s="28">
        <v>20000</v>
      </c>
      <c r="N178" s="29"/>
      <c r="P178" t="s">
        <v>60</v>
      </c>
      <c r="Q178" t="s">
        <v>60</v>
      </c>
      <c r="R178" t="s">
        <v>60</v>
      </c>
      <c r="S178" t="s">
        <v>63</v>
      </c>
      <c r="T178" t="s">
        <v>61</v>
      </c>
      <c r="U178" t="s">
        <v>62</v>
      </c>
    </row>
    <row r="179" spans="1:21" x14ac:dyDescent="0.2">
      <c r="A179" s="4" t="s">
        <v>37</v>
      </c>
      <c r="B179" s="2">
        <v>45923</v>
      </c>
      <c r="C179" s="22" t="s">
        <v>10</v>
      </c>
      <c r="D179">
        <v>-45.4</v>
      </c>
      <c r="E179" s="4" t="s">
        <v>38</v>
      </c>
      <c r="I179" s="27"/>
      <c r="J179" s="28" t="s">
        <v>57</v>
      </c>
      <c r="K179" s="28"/>
      <c r="L179" s="28">
        <v>-52450</v>
      </c>
      <c r="M179" s="28"/>
      <c r="N179" s="29"/>
    </row>
    <row r="180" spans="1:21" x14ac:dyDescent="0.2">
      <c r="A180" s="4" t="s">
        <v>14</v>
      </c>
      <c r="B180" s="2">
        <v>45923</v>
      </c>
      <c r="C180" s="22" t="s">
        <v>10</v>
      </c>
      <c r="D180">
        <v>9752</v>
      </c>
      <c r="E180" s="4" t="s">
        <v>15</v>
      </c>
      <c r="I180" s="27"/>
      <c r="J180" s="28"/>
      <c r="K180" s="28" t="s">
        <v>51</v>
      </c>
      <c r="L180" s="28"/>
      <c r="M180" s="26">
        <v>52450</v>
      </c>
      <c r="N180" s="29"/>
      <c r="R180" s="43" t="s">
        <v>59</v>
      </c>
      <c r="S180" s="43"/>
    </row>
    <row r="181" spans="1:21" x14ac:dyDescent="0.2">
      <c r="A181" s="4" t="s">
        <v>12</v>
      </c>
      <c r="B181" s="2">
        <v>45923</v>
      </c>
      <c r="C181" s="22" t="s">
        <v>10</v>
      </c>
      <c r="D181">
        <v>-1149.26</v>
      </c>
      <c r="E181" s="4" t="s">
        <v>13</v>
      </c>
      <c r="I181" s="27"/>
      <c r="J181" s="28"/>
      <c r="K181" s="28"/>
      <c r="L181" s="28"/>
      <c r="M181" s="28">
        <f>SUM(M176:M180)</f>
        <v>76450</v>
      </c>
      <c r="N181" s="29"/>
      <c r="P181" t="s">
        <v>51</v>
      </c>
      <c r="Q181" t="s">
        <v>52</v>
      </c>
      <c r="R181" s="43" t="s">
        <v>58</v>
      </c>
      <c r="S181" s="43"/>
      <c r="T181" s="43"/>
      <c r="U181" s="43"/>
    </row>
    <row r="182" spans="1:21" x14ac:dyDescent="0.2">
      <c r="A182" s="4" t="s">
        <v>14</v>
      </c>
      <c r="B182" s="2">
        <v>45923</v>
      </c>
      <c r="C182" s="22" t="s">
        <v>10</v>
      </c>
      <c r="D182" s="12">
        <f>1149.26*44.2</f>
        <v>50797.292000000001</v>
      </c>
      <c r="E182" s="4" t="s">
        <v>13</v>
      </c>
      <c r="I182" s="27"/>
      <c r="J182" s="28"/>
      <c r="K182" s="28" t="s">
        <v>10</v>
      </c>
      <c r="L182" s="28"/>
      <c r="M182" s="26">
        <v>-62590</v>
      </c>
      <c r="N182" s="29"/>
      <c r="P182" s="16">
        <v>4000</v>
      </c>
      <c r="Q182" s="16">
        <v>20000</v>
      </c>
      <c r="R182" s="32">
        <v>38590</v>
      </c>
      <c r="S182" s="32"/>
      <c r="T182" s="32"/>
      <c r="U182" s="32"/>
    </row>
    <row r="183" spans="1:21" x14ac:dyDescent="0.2">
      <c r="A183" s="4" t="s">
        <v>14</v>
      </c>
      <c r="B183" s="2">
        <v>45925</v>
      </c>
      <c r="C183" s="22" t="s">
        <v>10</v>
      </c>
      <c r="D183" s="12">
        <f>-D182</f>
        <v>-50797.292000000001</v>
      </c>
      <c r="E183" s="4" t="s">
        <v>13</v>
      </c>
      <c r="I183" s="27"/>
      <c r="J183" s="28"/>
      <c r="K183" s="28"/>
      <c r="L183" s="28"/>
      <c r="M183" s="28">
        <f>SUM(M181:M182)</f>
        <v>13860</v>
      </c>
      <c r="N183" s="29"/>
      <c r="R183" s="32"/>
      <c r="S183" s="32">
        <v>12660</v>
      </c>
      <c r="T183" s="32">
        <v>700</v>
      </c>
      <c r="U183" s="32">
        <v>500</v>
      </c>
    </row>
    <row r="184" spans="1:21" x14ac:dyDescent="0.2">
      <c r="A184" s="4" t="s">
        <v>14</v>
      </c>
      <c r="B184" s="2">
        <v>45925</v>
      </c>
      <c r="C184" s="22" t="s">
        <v>10</v>
      </c>
      <c r="D184">
        <v>4000</v>
      </c>
      <c r="E184" s="4" t="s">
        <v>51</v>
      </c>
      <c r="I184" s="27"/>
      <c r="J184" s="28"/>
      <c r="K184" s="28" t="s">
        <v>53</v>
      </c>
      <c r="L184" s="28"/>
      <c r="M184" s="26">
        <v>-1200</v>
      </c>
      <c r="N184" s="29"/>
    </row>
    <row r="185" spans="1:21" x14ac:dyDescent="0.2">
      <c r="A185" s="4" t="s">
        <v>50</v>
      </c>
      <c r="B185" s="2">
        <v>45925</v>
      </c>
      <c r="C185" s="22" t="s">
        <v>10</v>
      </c>
      <c r="D185">
        <v>20000</v>
      </c>
      <c r="E185" s="4" t="s">
        <v>52</v>
      </c>
      <c r="I185" s="27"/>
      <c r="J185" s="28"/>
      <c r="K185" s="28" t="s">
        <v>54</v>
      </c>
      <c r="L185" s="28"/>
      <c r="M185" s="28">
        <f>SUM(M183:M184)</f>
        <v>12660</v>
      </c>
      <c r="N185" s="29"/>
    </row>
    <row r="186" spans="1:21" x14ac:dyDescent="0.2">
      <c r="A186" s="4" t="s">
        <v>50</v>
      </c>
      <c r="B186" s="2">
        <v>45925</v>
      </c>
      <c r="C186" s="22" t="s">
        <v>10</v>
      </c>
      <c r="D186">
        <v>38590</v>
      </c>
      <c r="E186" s="4" t="s">
        <v>51</v>
      </c>
      <c r="I186" s="30"/>
      <c r="J186" s="26"/>
      <c r="K186" s="26"/>
      <c r="L186" s="26"/>
      <c r="M186" s="26"/>
      <c r="N186" s="31"/>
    </row>
    <row r="187" spans="1:21" x14ac:dyDescent="0.2">
      <c r="A187" s="4" t="s">
        <v>14</v>
      </c>
      <c r="B187" s="2">
        <v>45925</v>
      </c>
      <c r="C187" s="22" t="s">
        <v>10</v>
      </c>
      <c r="D187">
        <v>-30090</v>
      </c>
      <c r="E187" s="4" t="s">
        <v>6</v>
      </c>
    </row>
    <row r="188" spans="1:21" x14ac:dyDescent="0.2">
      <c r="A188" s="4" t="s">
        <v>7</v>
      </c>
      <c r="B188" s="2">
        <v>45925</v>
      </c>
      <c r="C188" s="22" t="s">
        <v>10</v>
      </c>
      <c r="D188">
        <v>8</v>
      </c>
      <c r="E188" s="4" t="s">
        <v>6</v>
      </c>
    </row>
    <row r="189" spans="1:21" x14ac:dyDescent="0.2">
      <c r="A189" s="4" t="s">
        <v>14</v>
      </c>
      <c r="B189" s="2">
        <v>45926</v>
      </c>
      <c r="C189" s="22" t="s">
        <v>10</v>
      </c>
      <c r="D189">
        <v>-9882</v>
      </c>
      <c r="E189" s="4" t="s">
        <v>6</v>
      </c>
    </row>
    <row r="190" spans="1:21" x14ac:dyDescent="0.2">
      <c r="A190" s="4" t="s">
        <v>7</v>
      </c>
      <c r="B190" s="2">
        <v>45926</v>
      </c>
      <c r="C190" s="22" t="s">
        <v>10</v>
      </c>
      <c r="D190">
        <v>2.62</v>
      </c>
      <c r="E190" s="4" t="s">
        <v>6</v>
      </c>
    </row>
    <row r="191" spans="1:21" x14ac:dyDescent="0.2">
      <c r="A191" s="4" t="s">
        <v>14</v>
      </c>
      <c r="B191" s="2">
        <v>45926</v>
      </c>
      <c r="C191" s="22" t="s">
        <v>5</v>
      </c>
      <c r="D191">
        <v>-16821</v>
      </c>
      <c r="E191" s="4" t="s">
        <v>15</v>
      </c>
    </row>
    <row r="192" spans="1:21" x14ac:dyDescent="0.2">
      <c r="A192" s="4" t="s">
        <v>7</v>
      </c>
      <c r="B192" s="2">
        <v>45926</v>
      </c>
      <c r="C192" s="22" t="s">
        <v>5</v>
      </c>
      <c r="D192">
        <v>4.476</v>
      </c>
      <c r="E192" s="4" t="s">
        <v>15</v>
      </c>
    </row>
    <row r="193" spans="1:22" x14ac:dyDescent="0.2">
      <c r="A193" s="4" t="s">
        <v>50</v>
      </c>
      <c r="B193" s="2">
        <v>45926</v>
      </c>
      <c r="C193" s="22" t="s">
        <v>64</v>
      </c>
      <c r="D193">
        <v>18000</v>
      </c>
      <c r="E193" s="4" t="s">
        <v>52</v>
      </c>
    </row>
    <row r="194" spans="1:22" x14ac:dyDescent="0.2">
      <c r="A194" s="4" t="s">
        <v>50</v>
      </c>
      <c r="B194" s="2">
        <v>45926</v>
      </c>
      <c r="C194" s="22" t="s">
        <v>64</v>
      </c>
      <c r="D194">
        <v>12660</v>
      </c>
      <c r="E194" s="4" t="s">
        <v>51</v>
      </c>
    </row>
    <row r="195" spans="1:22" x14ac:dyDescent="0.2">
      <c r="A195" s="4" t="s">
        <v>66</v>
      </c>
      <c r="B195" s="2">
        <v>45927</v>
      </c>
      <c r="C195" s="22" t="s">
        <v>10</v>
      </c>
      <c r="D195">
        <v>96</v>
      </c>
      <c r="E195" s="4" t="s">
        <v>67</v>
      </c>
    </row>
    <row r="196" spans="1:22" x14ac:dyDescent="0.2">
      <c r="A196" s="4" t="s">
        <v>65</v>
      </c>
      <c r="B196" s="2">
        <v>45927</v>
      </c>
      <c r="C196" s="22" t="s">
        <v>10</v>
      </c>
      <c r="D196">
        <v>3000000</v>
      </c>
      <c r="E196" s="4" t="s">
        <v>68</v>
      </c>
    </row>
    <row r="197" spans="1:22" x14ac:dyDescent="0.2">
      <c r="A197" s="4" t="s">
        <v>65</v>
      </c>
      <c r="B197" s="2">
        <v>45927</v>
      </c>
      <c r="C197" s="22" t="s">
        <v>10</v>
      </c>
      <c r="D197">
        <v>3320000</v>
      </c>
      <c r="E197" s="4" t="s">
        <v>69</v>
      </c>
    </row>
    <row r="198" spans="1:22" x14ac:dyDescent="0.2">
      <c r="A198" s="4" t="s">
        <v>14</v>
      </c>
      <c r="B198" s="2">
        <v>45926</v>
      </c>
      <c r="C198" s="22" t="s">
        <v>10</v>
      </c>
      <c r="D198">
        <v>-14000</v>
      </c>
      <c r="E198" s="4" t="s">
        <v>15</v>
      </c>
      <c r="V198" s="33"/>
    </row>
    <row r="199" spans="1:22" x14ac:dyDescent="0.2">
      <c r="A199" s="4" t="s">
        <v>7</v>
      </c>
      <c r="B199" s="2">
        <v>45926</v>
      </c>
      <c r="C199" s="22" t="s">
        <v>10</v>
      </c>
      <c r="D199">
        <v>3.7360000000000002</v>
      </c>
      <c r="E199" s="4" t="s">
        <v>15</v>
      </c>
      <c r="V199" s="33"/>
    </row>
    <row r="200" spans="1:22" x14ac:dyDescent="0.2">
      <c r="A200" s="4" t="s">
        <v>14</v>
      </c>
      <c r="B200" s="2">
        <v>45926</v>
      </c>
      <c r="C200" s="22" t="s">
        <v>5</v>
      </c>
      <c r="D200">
        <v>-672</v>
      </c>
      <c r="E200" s="4" t="s">
        <v>6</v>
      </c>
      <c r="F200" t="s">
        <v>40</v>
      </c>
    </row>
    <row r="201" spans="1:22" x14ac:dyDescent="0.2">
      <c r="A201" s="4" t="s">
        <v>7</v>
      </c>
      <c r="B201" s="2">
        <v>45926</v>
      </c>
      <c r="C201" s="22" t="s">
        <v>5</v>
      </c>
      <c r="D201">
        <v>-4.476</v>
      </c>
      <c r="E201" s="4" t="s">
        <v>15</v>
      </c>
    </row>
    <row r="202" spans="1:22" x14ac:dyDescent="0.2">
      <c r="A202" s="4" t="s">
        <v>7</v>
      </c>
      <c r="B202" s="2">
        <v>45926</v>
      </c>
      <c r="C202" s="22" t="s">
        <v>5</v>
      </c>
      <c r="D202">
        <v>4.476</v>
      </c>
      <c r="E202" s="4" t="s">
        <v>9</v>
      </c>
    </row>
    <row r="203" spans="1:22" x14ac:dyDescent="0.2">
      <c r="A203" s="4" t="s">
        <v>7</v>
      </c>
      <c r="B203" s="2">
        <v>45926</v>
      </c>
      <c r="C203" s="22" t="s">
        <v>10</v>
      </c>
      <c r="D203">
        <v>-3.524</v>
      </c>
      <c r="E203" s="4" t="s">
        <v>15</v>
      </c>
    </row>
    <row r="204" spans="1:22" x14ac:dyDescent="0.2">
      <c r="A204" s="4" t="s">
        <v>7</v>
      </c>
      <c r="B204" s="2">
        <v>45926</v>
      </c>
      <c r="C204" s="22" t="s">
        <v>10</v>
      </c>
      <c r="D204">
        <v>3.524</v>
      </c>
      <c r="E204" s="4" t="s">
        <v>9</v>
      </c>
    </row>
    <row r="205" spans="1:22" x14ac:dyDescent="0.2">
      <c r="A205" s="4" t="s">
        <v>7</v>
      </c>
      <c r="B205" s="2">
        <v>45926</v>
      </c>
      <c r="C205" s="22" t="s">
        <v>10</v>
      </c>
      <c r="D205">
        <v>-8</v>
      </c>
      <c r="E205" s="4" t="s">
        <v>6</v>
      </c>
    </row>
    <row r="206" spans="1:22" x14ac:dyDescent="0.2">
      <c r="A206" s="4" t="s">
        <v>7</v>
      </c>
      <c r="B206" s="2">
        <v>45926</v>
      </c>
      <c r="C206" s="22" t="s">
        <v>10</v>
      </c>
      <c r="D206">
        <v>8</v>
      </c>
      <c r="E206" s="4" t="s">
        <v>9</v>
      </c>
    </row>
    <row r="207" spans="1:22" x14ac:dyDescent="0.2">
      <c r="A207" s="4" t="s">
        <v>7</v>
      </c>
      <c r="B207" s="2">
        <v>45931</v>
      </c>
      <c r="C207" s="22" t="s">
        <v>5</v>
      </c>
      <c r="D207">
        <v>-1.0489999999999999</v>
      </c>
      <c r="E207" s="4" t="s">
        <v>9</v>
      </c>
      <c r="F207" s="4" t="s">
        <v>70</v>
      </c>
    </row>
    <row r="208" spans="1:22" x14ac:dyDescent="0.2">
      <c r="A208" s="4" t="s">
        <v>7</v>
      </c>
      <c r="B208" s="2">
        <v>45931</v>
      </c>
      <c r="C208" s="22" t="s">
        <v>8</v>
      </c>
      <c r="D208">
        <v>1.0489999999999999</v>
      </c>
      <c r="E208" s="4" t="s">
        <v>9</v>
      </c>
      <c r="F208" s="4" t="s">
        <v>70</v>
      </c>
    </row>
    <row r="209" spans="1:6" x14ac:dyDescent="0.2">
      <c r="A209" s="4" t="s">
        <v>14</v>
      </c>
      <c r="B209" s="2">
        <v>45931</v>
      </c>
      <c r="C209" s="22" t="s">
        <v>10</v>
      </c>
      <c r="D209">
        <v>-2900</v>
      </c>
      <c r="E209" s="4" t="s">
        <v>51</v>
      </c>
      <c r="F209" s="4" t="s">
        <v>71</v>
      </c>
    </row>
    <row r="210" spans="1:6" x14ac:dyDescent="0.2">
      <c r="A210" s="4" t="s">
        <v>14</v>
      </c>
      <c r="B210" s="2">
        <v>45931</v>
      </c>
      <c r="C210" s="22" t="s">
        <v>5</v>
      </c>
      <c r="D210">
        <v>2900</v>
      </c>
      <c r="E210" s="4" t="s">
        <v>51</v>
      </c>
      <c r="F210" s="4" t="s">
        <v>71</v>
      </c>
    </row>
    <row r="211" spans="1:6" x14ac:dyDescent="0.2">
      <c r="A211" s="4" t="s">
        <v>7</v>
      </c>
      <c r="B211" s="2">
        <v>45931</v>
      </c>
      <c r="C211" s="22" t="s">
        <v>11</v>
      </c>
      <c r="D211">
        <v>-0.75700000000000001</v>
      </c>
      <c r="E211" s="4" t="s">
        <v>9</v>
      </c>
      <c r="F211" s="4" t="s">
        <v>72</v>
      </c>
    </row>
    <row r="212" spans="1:6" x14ac:dyDescent="0.2">
      <c r="A212" s="4" t="s">
        <v>7</v>
      </c>
      <c r="B212" s="2">
        <v>45931</v>
      </c>
      <c r="C212" s="22" t="s">
        <v>8</v>
      </c>
      <c r="D212">
        <v>0.75700000000000001</v>
      </c>
      <c r="E212" s="4" t="s">
        <v>9</v>
      </c>
      <c r="F212" s="4" t="s">
        <v>72</v>
      </c>
    </row>
  </sheetData>
  <autoFilter ref="A1:E200" xr:uid="{2BF877CA-4798-494B-B38E-247D7770ECD8}"/>
  <mergeCells count="3">
    <mergeCell ref="I174:N174"/>
    <mergeCell ref="R180:S180"/>
    <mergeCell ref="R181:U18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E602-0CAA-AB47-B277-4AF99DA6270F}">
  <dimension ref="A1:G17"/>
  <sheetViews>
    <sheetView workbookViewId="0">
      <selection activeCell="A29" sqref="A29:G32"/>
    </sheetView>
  </sheetViews>
  <sheetFormatPr baseColWidth="10" defaultRowHeight="16" x14ac:dyDescent="0.2"/>
  <sheetData>
    <row r="1" spans="1:7" s="3" customFormat="1" x14ac:dyDescent="0.2">
      <c r="A1" s="3" t="s">
        <v>1</v>
      </c>
      <c r="B1" s="3" t="s">
        <v>4</v>
      </c>
      <c r="C1" s="3" t="s">
        <v>7</v>
      </c>
      <c r="D1" s="3" t="s">
        <v>12</v>
      </c>
      <c r="E1" s="3" t="s">
        <v>14</v>
      </c>
      <c r="F1" s="3" t="s">
        <v>17</v>
      </c>
      <c r="G1" s="3" t="s">
        <v>21</v>
      </c>
    </row>
    <row r="2" spans="1:7" x14ac:dyDescent="0.2">
      <c r="A2" s="2">
        <v>45819</v>
      </c>
      <c r="B2">
        <v>105000</v>
      </c>
      <c r="C2">
        <v>3376</v>
      </c>
      <c r="D2">
        <v>36.299999999999997</v>
      </c>
      <c r="E2">
        <v>1</v>
      </c>
      <c r="F2">
        <v>17.8</v>
      </c>
    </row>
    <row r="3" spans="1:7" x14ac:dyDescent="0.2">
      <c r="A3" s="2">
        <v>45827</v>
      </c>
      <c r="B3">
        <v>104000</v>
      </c>
      <c r="C3">
        <v>3390</v>
      </c>
      <c r="D3">
        <v>36.4</v>
      </c>
      <c r="E3">
        <v>1</v>
      </c>
      <c r="F3">
        <v>18</v>
      </c>
    </row>
    <row r="4" spans="1:7" x14ac:dyDescent="0.2">
      <c r="A4" s="2">
        <v>45828</v>
      </c>
      <c r="B4">
        <v>106000</v>
      </c>
      <c r="C4">
        <v>3380</v>
      </c>
      <c r="D4">
        <v>36.200000000000003</v>
      </c>
      <c r="E4">
        <v>1</v>
      </c>
      <c r="F4">
        <v>18</v>
      </c>
    </row>
    <row r="5" spans="1:7" x14ac:dyDescent="0.2">
      <c r="A5" s="2">
        <v>45832</v>
      </c>
      <c r="B5">
        <v>105000</v>
      </c>
      <c r="C5">
        <v>3353</v>
      </c>
      <c r="D5">
        <v>36</v>
      </c>
      <c r="E5">
        <v>1</v>
      </c>
      <c r="F5">
        <v>17.7</v>
      </c>
    </row>
    <row r="6" spans="1:7" x14ac:dyDescent="0.2">
      <c r="A6" s="2">
        <v>45834</v>
      </c>
      <c r="B6">
        <v>107000</v>
      </c>
      <c r="C6">
        <v>3353</v>
      </c>
      <c r="D6">
        <v>36.6</v>
      </c>
      <c r="E6">
        <v>1</v>
      </c>
      <c r="F6">
        <v>17.7</v>
      </c>
    </row>
    <row r="7" spans="1:7" x14ac:dyDescent="0.2">
      <c r="A7" s="2">
        <v>45835</v>
      </c>
      <c r="B7">
        <v>107000</v>
      </c>
      <c r="C7">
        <v>3310</v>
      </c>
      <c r="D7">
        <v>36.4</v>
      </c>
      <c r="E7">
        <v>1</v>
      </c>
      <c r="F7">
        <v>17.8</v>
      </c>
    </row>
    <row r="8" spans="1:7" x14ac:dyDescent="0.2">
      <c r="A8" s="2">
        <v>45836</v>
      </c>
      <c r="B8">
        <v>107000</v>
      </c>
      <c r="C8">
        <v>3290</v>
      </c>
      <c r="D8">
        <v>36.1</v>
      </c>
      <c r="E8">
        <v>1</v>
      </c>
      <c r="F8">
        <v>17.8</v>
      </c>
    </row>
    <row r="9" spans="1:7" x14ac:dyDescent="0.2">
      <c r="A9" s="2">
        <v>45838</v>
      </c>
      <c r="B9">
        <v>107000</v>
      </c>
      <c r="C9">
        <v>3300</v>
      </c>
      <c r="D9">
        <v>36.200000000000003</v>
      </c>
      <c r="E9">
        <v>1</v>
      </c>
      <c r="F9">
        <v>17.75</v>
      </c>
    </row>
    <row r="10" spans="1:7" x14ac:dyDescent="0.2">
      <c r="A10" s="2">
        <v>45839</v>
      </c>
      <c r="B10">
        <v>106000</v>
      </c>
      <c r="C10">
        <v>3340</v>
      </c>
      <c r="D10">
        <v>36.200000000000003</v>
      </c>
      <c r="E10">
        <v>1</v>
      </c>
      <c r="F10">
        <v>17.7</v>
      </c>
    </row>
    <row r="11" spans="1:7" x14ac:dyDescent="0.2">
      <c r="A11" s="2">
        <v>45840</v>
      </c>
      <c r="B11">
        <v>109000</v>
      </c>
      <c r="C11">
        <v>3350</v>
      </c>
      <c r="D11">
        <v>37</v>
      </c>
      <c r="E11">
        <v>1</v>
      </c>
      <c r="F11">
        <v>17.600000000000001</v>
      </c>
    </row>
    <row r="12" spans="1:7" x14ac:dyDescent="0.2">
      <c r="A12" s="2">
        <v>45841</v>
      </c>
      <c r="B12">
        <v>108000</v>
      </c>
      <c r="C12">
        <v>3350</v>
      </c>
      <c r="D12">
        <v>36.9</v>
      </c>
      <c r="E12">
        <v>1</v>
      </c>
      <c r="F12">
        <v>17.5</v>
      </c>
    </row>
    <row r="13" spans="1:7" x14ac:dyDescent="0.2">
      <c r="A13" s="2">
        <v>45842</v>
      </c>
      <c r="B13">
        <v>108000</v>
      </c>
      <c r="C13">
        <v>3340</v>
      </c>
      <c r="D13">
        <v>37</v>
      </c>
      <c r="E13">
        <v>1</v>
      </c>
      <c r="F13">
        <v>17.600000000000001</v>
      </c>
    </row>
    <row r="14" spans="1:7" x14ac:dyDescent="0.2">
      <c r="A14" s="2">
        <v>45843</v>
      </c>
      <c r="B14">
        <v>108000</v>
      </c>
      <c r="C14">
        <v>3340</v>
      </c>
      <c r="D14">
        <v>37</v>
      </c>
      <c r="E14">
        <v>1</v>
      </c>
      <c r="F14">
        <v>17.600000000000001</v>
      </c>
    </row>
    <row r="15" spans="1:7" x14ac:dyDescent="0.2">
      <c r="A15" s="2">
        <v>45844</v>
      </c>
      <c r="B15">
        <v>108000</v>
      </c>
      <c r="C15">
        <v>3340</v>
      </c>
      <c r="D15">
        <v>37</v>
      </c>
      <c r="E15">
        <v>1</v>
      </c>
      <c r="F15">
        <v>17.600000000000001</v>
      </c>
    </row>
    <row r="16" spans="1:7" x14ac:dyDescent="0.2">
      <c r="A16" s="2">
        <v>45848</v>
      </c>
      <c r="B16">
        <v>111000</v>
      </c>
      <c r="C16">
        <v>3340</v>
      </c>
      <c r="D16">
        <v>38</v>
      </c>
      <c r="E16">
        <v>1</v>
      </c>
      <c r="F16">
        <v>17.8</v>
      </c>
      <c r="G16">
        <v>2.48</v>
      </c>
    </row>
    <row r="17" spans="1:7" x14ac:dyDescent="0.2">
      <c r="A17" s="2">
        <v>45851</v>
      </c>
      <c r="B17">
        <v>121000</v>
      </c>
      <c r="C17">
        <v>3350</v>
      </c>
      <c r="D17">
        <v>38.9</v>
      </c>
      <c r="E17">
        <v>1</v>
      </c>
      <c r="F17">
        <v>17.8</v>
      </c>
      <c r="G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Lyons, John: Absa</dc:creator>
  <cp:lastModifiedBy>john lyons</cp:lastModifiedBy>
  <dcterms:created xsi:type="dcterms:W3CDTF">2025-06-18T11:12:03Z</dcterms:created>
  <dcterms:modified xsi:type="dcterms:W3CDTF">2025-10-13T05:24:22Z</dcterms:modified>
</cp:coreProperties>
</file>