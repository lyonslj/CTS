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lyons/Documents/Personal/DataScience/R/JL CTS scripts/"/>
    </mc:Choice>
  </mc:AlternateContent>
  <xr:revisionPtr revIDLastSave="0" documentId="13_ncr:1_{0F456D95-FD8C-B64E-B794-DFC2D29B4161}" xr6:coauthVersionLast="36" xr6:coauthVersionMax="36" xr10:uidLastSave="{00000000-0000-0000-0000-000000000000}"/>
  <bookViews>
    <workbookView xWindow="7960" yWindow="2180" windowWidth="30800" windowHeight="18660" activeTab="1" xr2:uid="{00000000-000D-0000-FFFF-FFFF00000000}"/>
  </bookViews>
  <sheets>
    <sheet name="Sheet0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G58" i="2" l="1"/>
  <c r="G57" i="2"/>
  <c r="G54" i="2"/>
  <c r="G53" i="2"/>
  <c r="G52" i="2"/>
  <c r="G49" i="2"/>
  <c r="G46" i="2"/>
  <c r="G43" i="2"/>
  <c r="G41" i="2"/>
  <c r="G39" i="2"/>
  <c r="G38" i="2"/>
  <c r="G35" i="2"/>
  <c r="G34" i="2"/>
  <c r="G30" i="2"/>
  <c r="G28" i="2"/>
  <c r="G26" i="2"/>
  <c r="G24" i="2"/>
  <c r="G23" i="2"/>
  <c r="G20" i="2"/>
  <c r="G19" i="2"/>
  <c r="G15" i="2"/>
  <c r="G14" i="2"/>
  <c r="G13" i="2"/>
  <c r="G10" i="2"/>
  <c r="H8" i="2"/>
  <c r="F9" i="2" l="1"/>
  <c r="H9" i="2" s="1"/>
  <c r="F8" i="2"/>
  <c r="B10" i="2"/>
  <c r="D9" i="2"/>
  <c r="D10" i="2" s="1"/>
  <c r="D8" i="2"/>
  <c r="B8" i="2"/>
  <c r="B9" i="2" s="1"/>
  <c r="C36" i="2"/>
  <c r="C32" i="2"/>
  <c r="C31" i="2"/>
  <c r="C30" i="2"/>
  <c r="C27" i="2"/>
  <c r="C23" i="2"/>
  <c r="C22" i="2"/>
  <c r="C20" i="2"/>
  <c r="C18" i="2"/>
  <c r="C16" i="2"/>
  <c r="C13" i="2"/>
  <c r="C12" i="2"/>
  <c r="C11" i="2"/>
  <c r="C10" i="2"/>
  <c r="E4" i="2"/>
  <c r="G4" i="2" s="1"/>
  <c r="F4" i="2"/>
  <c r="G3" i="2"/>
  <c r="E3" i="2"/>
  <c r="F10" i="2" l="1"/>
  <c r="H10" i="2" s="1"/>
  <c r="B11" i="2"/>
  <c r="D11" i="2" s="1"/>
  <c r="F11" i="2" l="1"/>
  <c r="H11" i="2" s="1"/>
  <c r="B12" i="2"/>
  <c r="D12" i="2" s="1"/>
  <c r="F12" i="2" l="1"/>
  <c r="H12" i="2" s="1"/>
  <c r="B13" i="2"/>
  <c r="D13" i="2" s="1"/>
  <c r="F13" i="2" l="1"/>
  <c r="H13" i="2" s="1"/>
  <c r="B14" i="2"/>
  <c r="D14" i="2" s="1"/>
  <c r="F14" i="2" l="1"/>
  <c r="H14" i="2" s="1"/>
  <c r="B15" i="2"/>
  <c r="D15" i="2" s="1"/>
  <c r="F15" i="2" l="1"/>
  <c r="H15" i="2" s="1"/>
  <c r="B16" i="2"/>
  <c r="D16" i="2" s="1"/>
  <c r="F16" i="2" l="1"/>
  <c r="H16" i="2" s="1"/>
  <c r="B17" i="2"/>
  <c r="D17" i="2" s="1"/>
  <c r="F17" i="2" l="1"/>
  <c r="H17" i="2" s="1"/>
  <c r="D18" i="2"/>
  <c r="B18" i="2"/>
  <c r="F18" i="2" l="1"/>
  <c r="H18" i="2" s="1"/>
  <c r="B19" i="2"/>
  <c r="D19" i="2" s="1"/>
  <c r="F19" i="2" l="1"/>
  <c r="H19" i="2" s="1"/>
  <c r="B20" i="2"/>
  <c r="D20" i="2" s="1"/>
  <c r="F20" i="2" l="1"/>
  <c r="H20" i="2" s="1"/>
  <c r="B21" i="2"/>
  <c r="D21" i="2" s="1"/>
  <c r="F21" i="2" l="1"/>
  <c r="H21" i="2" s="1"/>
  <c r="B22" i="2"/>
  <c r="D22" i="2" s="1"/>
  <c r="F22" i="2" l="1"/>
  <c r="H22" i="2" s="1"/>
  <c r="B23" i="2"/>
  <c r="D23" i="2" s="1"/>
  <c r="F23" i="2" l="1"/>
  <c r="H23" i="2" s="1"/>
  <c r="B24" i="2"/>
  <c r="D24" i="2" s="1"/>
  <c r="F24" i="2" l="1"/>
  <c r="H24" i="2" s="1"/>
  <c r="B25" i="2"/>
  <c r="D25" i="2" s="1"/>
  <c r="F25" i="2" l="1"/>
  <c r="H25" i="2" s="1"/>
  <c r="B26" i="2"/>
  <c r="D26" i="2" s="1"/>
  <c r="F26" i="2" l="1"/>
  <c r="H26" i="2" s="1"/>
  <c r="B27" i="2"/>
  <c r="D27" i="2" s="1"/>
  <c r="F27" i="2" l="1"/>
  <c r="H27" i="2" s="1"/>
  <c r="B28" i="2"/>
  <c r="D28" i="2" s="1"/>
  <c r="F28" i="2" l="1"/>
  <c r="H28" i="2" s="1"/>
  <c r="B29" i="2"/>
  <c r="D29" i="2" s="1"/>
  <c r="F29" i="2" l="1"/>
  <c r="H29" i="2" s="1"/>
  <c r="B30" i="2"/>
  <c r="D30" i="2" s="1"/>
  <c r="F30" i="2" l="1"/>
  <c r="H30" i="2" s="1"/>
  <c r="B31" i="2"/>
  <c r="D31" i="2" s="1"/>
  <c r="F31" i="2" l="1"/>
  <c r="H31" i="2" s="1"/>
  <c r="B32" i="2"/>
  <c r="D32" i="2" s="1"/>
  <c r="F32" i="2" l="1"/>
  <c r="H32" i="2" s="1"/>
  <c r="B33" i="2"/>
  <c r="D33" i="2" s="1"/>
  <c r="F33" i="2" l="1"/>
  <c r="H33" i="2" s="1"/>
  <c r="D34" i="2"/>
  <c r="B34" i="2"/>
  <c r="F34" i="2" l="1"/>
  <c r="H34" i="2" s="1"/>
  <c r="B35" i="2"/>
  <c r="D35" i="2" s="1"/>
  <c r="F35" i="2" l="1"/>
  <c r="H35" i="2" s="1"/>
  <c r="B36" i="2"/>
  <c r="D36" i="2" s="1"/>
  <c r="F36" i="2" l="1"/>
  <c r="H36" i="2" s="1"/>
  <c r="B37" i="2"/>
  <c r="D37" i="2" s="1"/>
  <c r="F37" i="2" l="1"/>
  <c r="H37" i="2" s="1"/>
  <c r="B38" i="2"/>
  <c r="D38" i="2" s="1"/>
  <c r="F38" i="2" l="1"/>
  <c r="H38" i="2" s="1"/>
  <c r="F39" i="2" l="1"/>
  <c r="H39" i="2" s="1"/>
  <c r="F40" i="2" l="1"/>
  <c r="H40" i="2" s="1"/>
  <c r="F41" i="2" l="1"/>
  <c r="H41" i="2" s="1"/>
  <c r="F42" i="2" l="1"/>
  <c r="H42" i="2" s="1"/>
  <c r="F43" i="2" l="1"/>
  <c r="H43" i="2" s="1"/>
  <c r="F44" i="2" l="1"/>
  <c r="H44" i="2" s="1"/>
  <c r="F45" i="2" l="1"/>
  <c r="H45" i="2" s="1"/>
  <c r="F46" i="2" l="1"/>
  <c r="H46" i="2" s="1"/>
  <c r="F47" i="2" l="1"/>
  <c r="H47" i="2" s="1"/>
  <c r="F48" i="2" l="1"/>
  <c r="H48" i="2" s="1"/>
  <c r="F49" i="2" l="1"/>
  <c r="H49" i="2" s="1"/>
  <c r="F50" i="2" l="1"/>
  <c r="H50" i="2" s="1"/>
  <c r="F51" i="2" l="1"/>
  <c r="H51" i="2" s="1"/>
  <c r="F52" i="2" l="1"/>
  <c r="H52" i="2" s="1"/>
  <c r="F53" i="2" l="1"/>
  <c r="H53" i="2" s="1"/>
  <c r="F54" i="2" l="1"/>
  <c r="H54" i="2" s="1"/>
  <c r="F55" i="2" l="1"/>
  <c r="H55" i="2" s="1"/>
  <c r="F56" i="2" l="1"/>
  <c r="H56" i="2" s="1"/>
  <c r="F57" i="2" l="1"/>
  <c r="H57" i="2" s="1"/>
  <c r="F58" i="2" l="1"/>
  <c r="H58" i="2" s="1"/>
  <c r="F59" i="2" l="1"/>
  <c r="H59" i="2" s="1"/>
  <c r="F60" i="2" l="1"/>
  <c r="H60" i="2" s="1"/>
</calcChain>
</file>

<file path=xl/sharedStrings.xml><?xml version="1.0" encoding="utf-8"?>
<sst xmlns="http://schemas.openxmlformats.org/spreadsheetml/2006/main" count="322" uniqueCount="165">
  <si>
    <t>Opening Time</t>
  </si>
  <si>
    <t>Type [buy/sell]</t>
  </si>
  <si>
    <t>Symbol</t>
  </si>
  <si>
    <t>Setup</t>
  </si>
  <si>
    <t>Size / Quantity</t>
  </si>
  <si>
    <t>Closing Time</t>
  </si>
  <si>
    <t>Entry Price</t>
  </si>
  <si>
    <t>Closing Price</t>
  </si>
  <si>
    <t>Swap</t>
  </si>
  <si>
    <t>Commission</t>
  </si>
  <si>
    <t>Net Profit</t>
  </si>
  <si>
    <t>Stop Loss (optional)</t>
  </si>
  <si>
    <t>RSC Edge</t>
  </si>
  <si>
    <t>2023-09-04 13:14:00</t>
  </si>
  <si>
    <t>BUY</t>
  </si>
  <si>
    <t>NEWGOLD</t>
  </si>
  <si>
    <t>Default Setup</t>
  </si>
  <si>
    <t>2024-02-08 13:20:00</t>
  </si>
  <si>
    <t>0</t>
  </si>
  <si>
    <t>2023-09-18 13:17:00</t>
  </si>
  <si>
    <t>Retest</t>
  </si>
  <si>
    <t>2024-03-28 10:47:00</t>
  </si>
  <si>
    <t>2023-10-16 13:23:00</t>
  </si>
  <si>
    <t>HARMONY</t>
  </si>
  <si>
    <t>2023-12-05 13:23:00</t>
  </si>
  <si>
    <t>2023-10-17 13:25:00</t>
  </si>
  <si>
    <t>2024-04-04 16:35:00</t>
  </si>
  <si>
    <t>2023-10-26 09:19:00</t>
  </si>
  <si>
    <t>2023-11-21 09:19:00</t>
  </si>
  <si>
    <t>2023-11-16 09:21:00</t>
  </si>
  <si>
    <t>2023-12-05 09:21:00</t>
  </si>
  <si>
    <t>2023-11-21 09:22:00</t>
  </si>
  <si>
    <t>2023-12-05 09:22:00</t>
  </si>
  <si>
    <t>2023-12-14 09:25:00</t>
  </si>
  <si>
    <t>GFIELDS</t>
  </si>
  <si>
    <t>2024-01-04 10:35:00</t>
  </si>
  <si>
    <t>2023-12-14 09:27:00</t>
  </si>
  <si>
    <t>2024-02-14 09:13:00</t>
  </si>
  <si>
    <t>2023-12-27 10:09:28</t>
  </si>
  <si>
    <t>KUMBAIO</t>
  </si>
  <si>
    <t>2024-01-10 10:12:00</t>
  </si>
  <si>
    <t>2023-12-27 06:46:00</t>
  </si>
  <si>
    <t>2024-01-04 10:34:00</t>
  </si>
  <si>
    <t>2024-01-15 11:47:53</t>
  </si>
  <si>
    <t>STXNDQ</t>
  </si>
  <si>
    <t>2024-04-11 10:43:00</t>
  </si>
  <si>
    <t>2024-01-19 13:03:37</t>
  </si>
  <si>
    <t>STXNDA</t>
  </si>
  <si>
    <t>Jl Test</t>
  </si>
  <si>
    <t>2024-02-09 13:59:00</t>
  </si>
  <si>
    <t>2024-02-08 07:33:00</t>
  </si>
  <si>
    <t>2024-04-11 10:28:00</t>
  </si>
  <si>
    <t>2024-02-23 07:25:00</t>
  </si>
  <si>
    <t>2024-03-13 15:28:00</t>
  </si>
  <si>
    <t>2024-03-05 12:59:04</t>
  </si>
  <si>
    <t>2024-04-30 15:37:00</t>
  </si>
  <si>
    <t>2024-03-15 15:31:00</t>
  </si>
  <si>
    <t>2024-04-30 15:43:00</t>
  </si>
  <si>
    <t>2024-03-26 18:03:03</t>
  </si>
  <si>
    <t>2024-04-30 15:44:00</t>
  </si>
  <si>
    <t>2024-03-28 10:50:55</t>
  </si>
  <si>
    <t>PANAF</t>
  </si>
  <si>
    <t>2025-02-20 13:08:00</t>
  </si>
  <si>
    <t>2024-04-02 16:05:32</t>
  </si>
  <si>
    <t>NEWSLV</t>
  </si>
  <si>
    <t>2024-08-20 11:34:00</t>
  </si>
  <si>
    <t>2024-04-02 16:27:40</t>
  </si>
  <si>
    <t>2024-04-30 15:46:00</t>
  </si>
  <si>
    <t>2024-04-04 16:41:02</t>
  </si>
  <si>
    <t>2025-01-29 08:52:00</t>
  </si>
  <si>
    <t>2024-04-08 14:39:10</t>
  </si>
  <si>
    <t>Breakout</t>
  </si>
  <si>
    <t>2024-05-24 11:04:00</t>
  </si>
  <si>
    <t>2024-04-11 10:59:28</t>
  </si>
  <si>
    <t>IMPLATS</t>
  </si>
  <si>
    <t>Wakeup Line Break</t>
  </si>
  <si>
    <t>2024-06-07 10:20:00</t>
  </si>
  <si>
    <t>2024-05-07 14:14:00</t>
  </si>
  <si>
    <t>2024-06-11 10:17:00</t>
  </si>
  <si>
    <t>2024-05-14 14:17:00</t>
  </si>
  <si>
    <t>2024-06-12 10:31:00</t>
  </si>
  <si>
    <t>2024-05-24 16:14:20</t>
  </si>
  <si>
    <t>CALGRO</t>
  </si>
  <si>
    <t>2024-07-31 11:31:00</t>
  </si>
  <si>
    <t>2024-05-27 15:19:46</t>
  </si>
  <si>
    <t>2024-10-12 10:29:00</t>
  </si>
  <si>
    <t>2024-06-03 08:41:00</t>
  </si>
  <si>
    <t>2025-01-29 08:55:00</t>
  </si>
  <si>
    <t>2024-07-11 10:43:00</t>
  </si>
  <si>
    <t>2024-09-20 12:04:00</t>
  </si>
  <si>
    <t>2024-07-15 11:28:00</t>
  </si>
  <si>
    <t>ACL</t>
  </si>
  <si>
    <t>2024-09-03 11:38:00</t>
  </si>
  <si>
    <t>2024-07-16 11:30:00</t>
  </si>
  <si>
    <t>2024-09-03 11:39:00</t>
  </si>
  <si>
    <t>2024-08-15 11:32:00</t>
  </si>
  <si>
    <t>2025-02-20 13:10:00</t>
  </si>
  <si>
    <t>2024-08-21 11:36:00</t>
  </si>
  <si>
    <t>2024-09-20 12:05:00</t>
  </si>
  <si>
    <t>2024-08-30 11:37:00</t>
  </si>
  <si>
    <t>2025-02-20 13:12:00</t>
  </si>
  <si>
    <t>2024-09-16 11:40:00</t>
  </si>
  <si>
    <t>2025-02-20 13:14:00</t>
  </si>
  <si>
    <t>2024-09-20 12:12:00</t>
  </si>
  <si>
    <t>2025-03-03 13:12:00</t>
  </si>
  <si>
    <t>2024-09-20 12:13:00</t>
  </si>
  <si>
    <t>MUR</t>
  </si>
  <si>
    <t>2024-10-01 12:17:00</t>
  </si>
  <si>
    <t>2024-09-23 12:15:00</t>
  </si>
  <si>
    <t>2025-03-03 13:13:00</t>
  </si>
  <si>
    <t>2024-09-23 12:16:00</t>
  </si>
  <si>
    <t>2024-10-01 12:18:00</t>
  </si>
  <si>
    <t>2024-09-16 12:18:00</t>
  </si>
  <si>
    <t>2025-03-03 13:15:00</t>
  </si>
  <si>
    <t>2024-10-14 13:00:03</t>
  </si>
  <si>
    <t>SPAR</t>
  </si>
  <si>
    <t>2024-10-24 09:02:00</t>
  </si>
  <si>
    <t>2025-01-16 10:17:00</t>
  </si>
  <si>
    <t>2025-03-19 16:28:00</t>
  </si>
  <si>
    <t>2025-02-06 10:31:00</t>
  </si>
  <si>
    <t>TELKOM</t>
  </si>
  <si>
    <t>2025-03-07 13:25:00</t>
  </si>
  <si>
    <t>2025-02-21 13:24:00</t>
  </si>
  <si>
    <t>DRD</t>
  </si>
  <si>
    <t>2025-03-20 15:24:00</t>
  </si>
  <si>
    <t>2025-02-24 13:26:09</t>
  </si>
  <si>
    <t>2025-04-14 20:21:00</t>
  </si>
  <si>
    <t>2025-01-31 09:07:00</t>
  </si>
  <si>
    <t>ANG</t>
  </si>
  <si>
    <t>2025-02-26 09:07:00</t>
  </si>
  <si>
    <t>2025-04-04 14:27:00</t>
  </si>
  <si>
    <t>2025-03-03 13:17:00</t>
  </si>
  <si>
    <t>2025-04-14 20:24:00</t>
  </si>
  <si>
    <t>2025-03-11 08:27:00</t>
  </si>
  <si>
    <t>2025-04-14 20:26:00</t>
  </si>
  <si>
    <t>2025-03-12 09:12:00</t>
  </si>
  <si>
    <t>2025-05-05 14:22:00</t>
  </si>
  <si>
    <t>2025-03-20 12:08:04</t>
  </si>
  <si>
    <t>2025-05-05 14:23:00</t>
  </si>
  <si>
    <t>2025-03-24 09:01:00</t>
  </si>
  <si>
    <t>MTN</t>
  </si>
  <si>
    <t>2025-04-02 13:23:00</t>
  </si>
  <si>
    <t>2025-04-08 16:59:00</t>
  </si>
  <si>
    <t>2025-05-21 16:09:00</t>
  </si>
  <si>
    <t>2025-04-22 11:37:00</t>
  </si>
  <si>
    <t>2025-06-03 14:24:00</t>
  </si>
  <si>
    <t>2025-04-24 09:56:00</t>
  </si>
  <si>
    <t>2025-06-12 10:44:00</t>
  </si>
  <si>
    <t>2025-05-05 14:26:00</t>
  </si>
  <si>
    <t>2025-07-09 14:31:00</t>
  </si>
  <si>
    <t>2025-06-05 14:35:00</t>
  </si>
  <si>
    <t>2025-06-23 12:17:00</t>
  </si>
  <si>
    <t>2025-06-24 12:19:00</t>
  </si>
  <si>
    <t>SOL</t>
  </si>
  <si>
    <t>2025-07-01 09:32:00</t>
  </si>
  <si>
    <t>Risk</t>
  </si>
  <si>
    <t>Win</t>
  </si>
  <si>
    <t>Lose</t>
  </si>
  <si>
    <t>Opening</t>
  </si>
  <si>
    <t>R</t>
  </si>
  <si>
    <t>Bal</t>
  </si>
  <si>
    <t>31 Trades</t>
  </si>
  <si>
    <t>53 Trades</t>
  </si>
  <si>
    <t>17 win 14 loss</t>
  </si>
  <si>
    <t>29win 24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</si>
</sst>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43" fontId="2" fillId="2" borderId="0" xfId="1" applyFont="1" applyFill="1"/>
    <xf numFmtId="43" fontId="0" fillId="0" borderId="0" xfId="1" applyFont="1"/>
    <xf numFmtId="2" fontId="2" fillId="2" borderId="0" xfId="0" applyNumberFormat="1" applyFont="1" applyFill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/>
    <xf numFmtId="1" fontId="2" fillId="0" borderId="0" xfId="0" applyNumberFormat="1" applyFont="1"/>
    <xf numFmtId="1" fontId="0" fillId="0" borderId="0" xfId="0" applyNumberFormat="1"/>
    <xf numFmtId="164" fontId="2" fillId="0" borderId="0" xfId="1" applyNumberFormat="1" applyFont="1"/>
    <xf numFmtId="164" fontId="0" fillId="0" borderId="0" xfId="1" applyNumberFormat="1" applyFont="1"/>
    <xf numFmtId="0" fontId="0" fillId="0" borderId="1" xfId="0" applyBorder="1"/>
    <xf numFmtId="1" fontId="0" fillId="0" borderId="1" xfId="0" applyNumberFormat="1" applyBorder="1"/>
    <xf numFmtId="43" fontId="0" fillId="0" borderId="1" xfId="1" applyFont="1" applyBorder="1"/>
    <xf numFmtId="2" fontId="0" fillId="0" borderId="1" xfId="0" applyNumberFormat="1" applyBorder="1" applyAlignment="1">
      <alignment horizontal="right"/>
    </xf>
    <xf numFmtId="2" fontId="0" fillId="0" borderId="1" xfId="0" applyNumberFormat="1" applyBorder="1"/>
    <xf numFmtId="164" fontId="0" fillId="0" borderId="1" xfId="1" applyNumberFormat="1" applyFont="1" applyBorder="1"/>
    <xf numFmtId="0" fontId="3" fillId="0" borderId="0" xfId="0" applyFont="1"/>
    <xf numFmtId="165" fontId="0" fillId="0" borderId="0" xfId="1" applyNumberFormat="1" applyFont="1"/>
    <xf numFmtId="43" fontId="3" fillId="0" borderId="0" xfId="1" applyFont="1"/>
    <xf numFmtId="165" fontId="3" fillId="0" borderId="0" xfId="1" applyNumberFormat="1" applyFont="1"/>
    <xf numFmtId="165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1"/>
  <sheetViews>
    <sheetView zoomScale="110" zoomScaleNormal="110" workbookViewId="0">
      <pane xSplit="4" ySplit="1" topLeftCell="E3" activePane="bottomRight" state="frozen"/>
      <selection pane="topRight" activeCell="E1" sqref="E1"/>
      <selection pane="bottomLeft" activeCell="A2" sqref="A2"/>
      <selection pane="bottomRight" activeCell="N15" sqref="N15"/>
    </sheetView>
  </sheetViews>
  <sheetFormatPr baseColWidth="10" defaultRowHeight="13" x14ac:dyDescent="0.15"/>
  <cols>
    <col min="1" max="1" width="17.83203125" customWidth="1"/>
    <col min="2" max="4" width="8.83203125" customWidth="1"/>
    <col min="5" max="5" width="15.83203125" style="8" customWidth="1"/>
    <col min="6" max="6" width="16.6640625" customWidth="1"/>
    <col min="7" max="9" width="8.83203125" customWidth="1"/>
    <col min="10" max="10" width="8.83203125" style="3" customWidth="1"/>
    <col min="11" max="11" width="16" style="5" customWidth="1"/>
    <col min="12" max="12" width="13.6640625" customWidth="1"/>
    <col min="13" max="13" width="8.83203125" customWidth="1"/>
    <col min="14" max="14" width="14" customWidth="1"/>
    <col min="15" max="15" width="11.83203125" customWidth="1"/>
    <col min="16" max="16" width="14.33203125" style="10" customWidth="1"/>
    <col min="17" max="17" width="12.33203125" style="10" customWidth="1"/>
    <col min="18" max="256" width="8.83203125" customWidth="1"/>
  </cols>
  <sheetData>
    <row r="1" spans="1:40" x14ac:dyDescent="0.15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4" t="s">
        <v>10</v>
      </c>
      <c r="L1" s="1" t="s">
        <v>11</v>
      </c>
      <c r="M1" s="1"/>
      <c r="N1" s="1"/>
      <c r="O1" s="1"/>
      <c r="P1" s="9"/>
      <c r="Q1" s="9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15">
      <c r="A2" s="1"/>
      <c r="B2" s="1"/>
      <c r="C2" s="1"/>
      <c r="D2" s="1"/>
      <c r="E2" s="7"/>
      <c r="F2" s="1"/>
      <c r="G2" s="1"/>
      <c r="H2" s="1"/>
      <c r="I2" s="1"/>
      <c r="J2" s="2"/>
      <c r="K2" s="4"/>
      <c r="L2" s="1"/>
      <c r="M2" s="1"/>
      <c r="N2" s="1"/>
      <c r="O2" s="1"/>
      <c r="Q2" s="9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15">
      <c r="A3" t="s">
        <v>13</v>
      </c>
      <c r="B3" t="s">
        <v>14</v>
      </c>
      <c r="C3" t="s">
        <v>15</v>
      </c>
      <c r="D3" t="s">
        <v>16</v>
      </c>
      <c r="E3" s="8">
        <v>600</v>
      </c>
      <c r="F3" t="s">
        <v>17</v>
      </c>
      <c r="G3">
        <v>341.25</v>
      </c>
      <c r="H3">
        <v>357.94</v>
      </c>
      <c r="J3" s="3">
        <v>2000</v>
      </c>
      <c r="K3" s="5">
        <v>8014</v>
      </c>
      <c r="L3">
        <v>339</v>
      </c>
    </row>
    <row r="4" spans="1:40" x14ac:dyDescent="0.15">
      <c r="A4" t="s">
        <v>19</v>
      </c>
      <c r="B4" t="s">
        <v>14</v>
      </c>
      <c r="C4" t="s">
        <v>15</v>
      </c>
      <c r="D4" t="s">
        <v>20</v>
      </c>
      <c r="E4" s="8">
        <v>1400</v>
      </c>
      <c r="F4" t="s">
        <v>21</v>
      </c>
      <c r="G4">
        <v>341.22</v>
      </c>
      <c r="H4">
        <v>379.7</v>
      </c>
      <c r="J4" s="3">
        <v>2440</v>
      </c>
      <c r="K4" s="5">
        <v>51427</v>
      </c>
      <c r="L4">
        <v>322</v>
      </c>
    </row>
    <row r="5" spans="1:40" x14ac:dyDescent="0.15">
      <c r="A5" t="s">
        <v>22</v>
      </c>
      <c r="B5" t="s">
        <v>14</v>
      </c>
      <c r="C5" t="s">
        <v>23</v>
      </c>
      <c r="D5" t="s">
        <v>16</v>
      </c>
      <c r="E5" s="8">
        <v>700</v>
      </c>
      <c r="F5" t="s">
        <v>24</v>
      </c>
      <c r="G5">
        <v>91.48</v>
      </c>
      <c r="H5">
        <v>114.5</v>
      </c>
      <c r="K5" s="5">
        <v>16114</v>
      </c>
      <c r="L5">
        <v>82</v>
      </c>
    </row>
    <row r="6" spans="1:40" x14ac:dyDescent="0.15">
      <c r="A6" t="s">
        <v>25</v>
      </c>
      <c r="B6" t="s">
        <v>14</v>
      </c>
      <c r="C6" t="s">
        <v>15</v>
      </c>
      <c r="D6" t="s">
        <v>12</v>
      </c>
      <c r="E6" s="8">
        <v>1400</v>
      </c>
      <c r="F6" t="s">
        <v>26</v>
      </c>
      <c r="G6">
        <v>337</v>
      </c>
      <c r="H6">
        <v>394.54</v>
      </c>
      <c r="J6" s="3">
        <v>3081</v>
      </c>
      <c r="K6" s="5">
        <v>77480.08</v>
      </c>
      <c r="L6">
        <v>303</v>
      </c>
    </row>
    <row r="7" spans="1:40" x14ac:dyDescent="0.15">
      <c r="A7" t="s">
        <v>27</v>
      </c>
      <c r="B7" t="s">
        <v>14</v>
      </c>
      <c r="C7" t="s">
        <v>23</v>
      </c>
      <c r="D7" t="s">
        <v>16</v>
      </c>
      <c r="E7" s="8">
        <v>1000</v>
      </c>
      <c r="F7" t="s">
        <v>28</v>
      </c>
      <c r="G7">
        <v>90.11</v>
      </c>
      <c r="H7">
        <v>108.42</v>
      </c>
      <c r="K7" s="5">
        <v>18310</v>
      </c>
      <c r="L7">
        <v>81</v>
      </c>
    </row>
    <row r="8" spans="1:40" x14ac:dyDescent="0.15">
      <c r="A8" t="s">
        <v>29</v>
      </c>
      <c r="B8" t="s">
        <v>14</v>
      </c>
      <c r="C8" t="s">
        <v>23</v>
      </c>
      <c r="D8" t="s">
        <v>16</v>
      </c>
      <c r="E8" s="8">
        <v>1700</v>
      </c>
      <c r="F8" t="s">
        <v>30</v>
      </c>
      <c r="G8">
        <v>98.67</v>
      </c>
      <c r="H8">
        <v>114.5</v>
      </c>
      <c r="K8" s="5">
        <v>26911</v>
      </c>
      <c r="L8">
        <v>89</v>
      </c>
    </row>
    <row r="9" spans="1:40" x14ac:dyDescent="0.15">
      <c r="A9" t="s">
        <v>31</v>
      </c>
      <c r="B9" t="s">
        <v>14</v>
      </c>
      <c r="C9" t="s">
        <v>23</v>
      </c>
      <c r="D9" t="s">
        <v>16</v>
      </c>
      <c r="E9" s="8">
        <v>1000</v>
      </c>
      <c r="F9" t="s">
        <v>32</v>
      </c>
      <c r="G9">
        <v>105.98</v>
      </c>
      <c r="H9">
        <v>108.42</v>
      </c>
      <c r="K9" s="5">
        <v>2440</v>
      </c>
      <c r="L9">
        <v>94</v>
      </c>
    </row>
    <row r="10" spans="1:40" x14ac:dyDescent="0.15">
      <c r="A10" t="s">
        <v>33</v>
      </c>
      <c r="B10" t="s">
        <v>14</v>
      </c>
      <c r="C10" t="s">
        <v>34</v>
      </c>
      <c r="D10" t="s">
        <v>16</v>
      </c>
      <c r="E10" s="8">
        <v>500</v>
      </c>
      <c r="F10" t="s">
        <v>35</v>
      </c>
      <c r="G10">
        <v>297.60000000000002</v>
      </c>
      <c r="H10">
        <v>248.4</v>
      </c>
      <c r="J10" s="3">
        <v>1600</v>
      </c>
      <c r="K10" s="5">
        <v>-26200</v>
      </c>
      <c r="L10">
        <v>268.55</v>
      </c>
      <c r="N10" s="6"/>
    </row>
    <row r="11" spans="1:40" x14ac:dyDescent="0.15">
      <c r="A11" t="s">
        <v>36</v>
      </c>
      <c r="B11" t="s">
        <v>14</v>
      </c>
      <c r="C11" t="s">
        <v>23</v>
      </c>
      <c r="D11" t="s">
        <v>16</v>
      </c>
      <c r="E11" s="8">
        <v>1200</v>
      </c>
      <c r="F11" t="s">
        <v>37</v>
      </c>
      <c r="G11">
        <v>117.4</v>
      </c>
      <c r="H11">
        <v>105.08</v>
      </c>
      <c r="J11" s="3">
        <v>1588</v>
      </c>
      <c r="K11" s="5">
        <v>-16372</v>
      </c>
      <c r="L11">
        <v>106</v>
      </c>
      <c r="N11" s="6"/>
    </row>
    <row r="12" spans="1:40" x14ac:dyDescent="0.15">
      <c r="A12" t="s">
        <v>38</v>
      </c>
      <c r="B12" t="s">
        <v>14</v>
      </c>
      <c r="C12" t="s">
        <v>39</v>
      </c>
      <c r="D12" t="s">
        <v>16</v>
      </c>
      <c r="E12" s="8">
        <v>300</v>
      </c>
      <c r="F12" t="s">
        <v>40</v>
      </c>
      <c r="G12">
        <v>605.5</v>
      </c>
      <c r="H12">
        <v>560.85</v>
      </c>
      <c r="J12" s="3">
        <v>2085</v>
      </c>
      <c r="K12" s="5">
        <v>-15480</v>
      </c>
      <c r="L12">
        <v>560</v>
      </c>
      <c r="N12" s="6"/>
    </row>
    <row r="13" spans="1:40" x14ac:dyDescent="0.15">
      <c r="A13" s="11" t="s">
        <v>41</v>
      </c>
      <c r="B13" s="11" t="s">
        <v>14</v>
      </c>
      <c r="C13" s="11" t="s">
        <v>34</v>
      </c>
      <c r="D13" s="11" t="s">
        <v>16</v>
      </c>
      <c r="E13" s="12">
        <v>500</v>
      </c>
      <c r="F13" s="11" t="s">
        <v>42</v>
      </c>
      <c r="G13" s="11">
        <v>303</v>
      </c>
      <c r="H13" s="11">
        <v>248.4</v>
      </c>
      <c r="I13" s="11"/>
      <c r="J13" s="13">
        <v>1600</v>
      </c>
      <c r="K13" s="14">
        <v>-28900</v>
      </c>
      <c r="L13" s="11">
        <v>277</v>
      </c>
      <c r="M13" s="11"/>
      <c r="N13" s="15"/>
      <c r="O13" s="11"/>
      <c r="P13" s="16"/>
    </row>
    <row r="14" spans="1:40" x14ac:dyDescent="0.15">
      <c r="A14" t="s">
        <v>43</v>
      </c>
      <c r="B14" t="s">
        <v>14</v>
      </c>
      <c r="C14" t="s">
        <v>44</v>
      </c>
      <c r="D14" t="s">
        <v>16</v>
      </c>
      <c r="E14" s="8">
        <v>1100</v>
      </c>
      <c r="F14" t="s">
        <v>45</v>
      </c>
      <c r="G14">
        <v>177.6</v>
      </c>
      <c r="H14">
        <v>192.8</v>
      </c>
      <c r="J14" s="3">
        <v>1760</v>
      </c>
      <c r="K14" s="5">
        <v>14960</v>
      </c>
      <c r="L14">
        <v>166.3</v>
      </c>
    </row>
    <row r="15" spans="1:40" x14ac:dyDescent="0.15">
      <c r="A15" t="s">
        <v>46</v>
      </c>
      <c r="B15" t="s">
        <v>14</v>
      </c>
      <c r="C15" t="s">
        <v>47</v>
      </c>
      <c r="D15" t="s">
        <v>48</v>
      </c>
      <c r="E15" s="8">
        <v>1409</v>
      </c>
      <c r="F15" t="s">
        <v>49</v>
      </c>
      <c r="G15">
        <v>82.5</v>
      </c>
      <c r="H15">
        <v>85.1</v>
      </c>
      <c r="J15" s="3">
        <v>1006</v>
      </c>
      <c r="K15" s="5">
        <v>2657.4</v>
      </c>
      <c r="L15">
        <v>76.2</v>
      </c>
    </row>
    <row r="16" spans="1:40" x14ac:dyDescent="0.15">
      <c r="A16" t="s">
        <v>50</v>
      </c>
      <c r="B16" t="s">
        <v>14</v>
      </c>
      <c r="C16" t="s">
        <v>44</v>
      </c>
      <c r="D16" t="s">
        <v>16</v>
      </c>
      <c r="E16" s="8">
        <v>110</v>
      </c>
      <c r="F16" t="s">
        <v>51</v>
      </c>
      <c r="G16">
        <v>190.55</v>
      </c>
      <c r="H16">
        <v>192.8</v>
      </c>
      <c r="J16" s="3">
        <v>234.7</v>
      </c>
      <c r="K16" s="5">
        <v>12.8</v>
      </c>
      <c r="L16">
        <v>181.6</v>
      </c>
    </row>
    <row r="17" spans="1:14" x14ac:dyDescent="0.15">
      <c r="A17" t="s">
        <v>52</v>
      </c>
      <c r="B17" t="s">
        <v>14</v>
      </c>
      <c r="C17" t="s">
        <v>47</v>
      </c>
      <c r="D17" t="s">
        <v>12</v>
      </c>
      <c r="E17" s="8">
        <v>2000</v>
      </c>
      <c r="F17" t="s">
        <v>53</v>
      </c>
      <c r="G17">
        <v>88.5</v>
      </c>
      <c r="H17">
        <v>83.35</v>
      </c>
      <c r="J17" s="3">
        <v>1614</v>
      </c>
      <c r="K17" s="5">
        <v>-11914</v>
      </c>
      <c r="L17">
        <v>81.8</v>
      </c>
    </row>
    <row r="18" spans="1:14" x14ac:dyDescent="0.15">
      <c r="A18" t="s">
        <v>54</v>
      </c>
      <c r="B18" t="s">
        <v>14</v>
      </c>
      <c r="C18" t="s">
        <v>23</v>
      </c>
      <c r="D18" t="s">
        <v>16</v>
      </c>
      <c r="E18" s="8">
        <v>700</v>
      </c>
      <c r="F18" t="s">
        <v>55</v>
      </c>
      <c r="G18">
        <v>129.44999999999999</v>
      </c>
      <c r="H18">
        <v>166.35</v>
      </c>
      <c r="J18" s="3">
        <v>1482</v>
      </c>
      <c r="K18" s="5">
        <v>24348</v>
      </c>
      <c r="L18">
        <v>103.4</v>
      </c>
    </row>
    <row r="19" spans="1:14" x14ac:dyDescent="0.15">
      <c r="A19" t="s">
        <v>56</v>
      </c>
      <c r="B19" t="s">
        <v>14</v>
      </c>
      <c r="C19" t="s">
        <v>23</v>
      </c>
      <c r="D19" t="s">
        <v>16</v>
      </c>
      <c r="E19" s="8">
        <v>800</v>
      </c>
      <c r="F19" t="s">
        <v>57</v>
      </c>
      <c r="G19">
        <v>143.88999999999999</v>
      </c>
      <c r="H19">
        <v>166.35</v>
      </c>
      <c r="J19" s="3">
        <v>1661</v>
      </c>
      <c r="K19" s="5">
        <v>16307</v>
      </c>
      <c r="L19" t="s">
        <v>18</v>
      </c>
    </row>
    <row r="20" spans="1:14" x14ac:dyDescent="0.15">
      <c r="A20" t="s">
        <v>58</v>
      </c>
      <c r="B20" t="s">
        <v>14</v>
      </c>
      <c r="C20" t="s">
        <v>23</v>
      </c>
      <c r="D20" t="s">
        <v>16</v>
      </c>
      <c r="E20" s="8">
        <v>1380</v>
      </c>
      <c r="F20" t="s">
        <v>59</v>
      </c>
      <c r="G20">
        <v>149.29</v>
      </c>
      <c r="H20">
        <v>166.35</v>
      </c>
      <c r="J20" s="3">
        <v>1477</v>
      </c>
      <c r="K20" s="5">
        <v>22065.8</v>
      </c>
      <c r="L20">
        <v>137</v>
      </c>
    </row>
    <row r="21" spans="1:14" x14ac:dyDescent="0.15">
      <c r="A21" t="s">
        <v>60</v>
      </c>
      <c r="B21" t="s">
        <v>14</v>
      </c>
      <c r="C21" t="s">
        <v>61</v>
      </c>
      <c r="D21" t="s">
        <v>16</v>
      </c>
      <c r="E21" s="8">
        <v>36000</v>
      </c>
      <c r="F21" t="s">
        <v>62</v>
      </c>
      <c r="G21">
        <v>5.23</v>
      </c>
      <c r="H21">
        <v>8.48</v>
      </c>
      <c r="J21" s="3">
        <v>2600</v>
      </c>
      <c r="K21" s="5">
        <v>114400</v>
      </c>
      <c r="L21">
        <v>4.76</v>
      </c>
    </row>
    <row r="22" spans="1:14" x14ac:dyDescent="0.15">
      <c r="A22" t="s">
        <v>63</v>
      </c>
      <c r="B22" t="s">
        <v>14</v>
      </c>
      <c r="C22" t="s">
        <v>64</v>
      </c>
      <c r="D22" t="s">
        <v>16</v>
      </c>
      <c r="E22" s="8">
        <v>41000</v>
      </c>
      <c r="F22" t="s">
        <v>65</v>
      </c>
      <c r="G22">
        <v>4.58</v>
      </c>
      <c r="H22">
        <v>4.99</v>
      </c>
      <c r="J22" s="3">
        <v>1800</v>
      </c>
      <c r="K22" s="5">
        <v>15010</v>
      </c>
      <c r="L22" t="s">
        <v>18</v>
      </c>
    </row>
    <row r="23" spans="1:14" x14ac:dyDescent="0.15">
      <c r="A23" t="s">
        <v>66</v>
      </c>
      <c r="B23" t="s">
        <v>14</v>
      </c>
      <c r="C23" t="s">
        <v>23</v>
      </c>
      <c r="D23" t="s">
        <v>16</v>
      </c>
      <c r="E23" s="8">
        <v>800</v>
      </c>
      <c r="F23" t="s">
        <v>67</v>
      </c>
      <c r="G23">
        <v>161</v>
      </c>
      <c r="H23">
        <v>166.35</v>
      </c>
      <c r="J23" s="3">
        <v>1790</v>
      </c>
      <c r="K23" s="5">
        <v>2490</v>
      </c>
      <c r="L23">
        <v>137</v>
      </c>
    </row>
    <row r="24" spans="1:14" x14ac:dyDescent="0.15">
      <c r="A24" t="s">
        <v>68</v>
      </c>
      <c r="B24" t="s">
        <v>14</v>
      </c>
      <c r="C24" t="s">
        <v>64</v>
      </c>
      <c r="D24" t="s">
        <v>16</v>
      </c>
      <c r="E24" s="8">
        <v>40500</v>
      </c>
      <c r="F24" t="s">
        <v>69</v>
      </c>
      <c r="G24">
        <v>4.8</v>
      </c>
      <c r="H24">
        <v>5.37</v>
      </c>
      <c r="J24" s="3">
        <v>1927</v>
      </c>
      <c r="K24" s="5">
        <v>21320.44</v>
      </c>
      <c r="L24">
        <v>4.33</v>
      </c>
    </row>
    <row r="25" spans="1:14" x14ac:dyDescent="0.15">
      <c r="A25" t="s">
        <v>70</v>
      </c>
      <c r="B25" t="s">
        <v>14</v>
      </c>
      <c r="C25" t="s">
        <v>34</v>
      </c>
      <c r="D25" t="s">
        <v>71</v>
      </c>
      <c r="E25" s="8">
        <v>265</v>
      </c>
      <c r="F25" t="s">
        <v>72</v>
      </c>
      <c r="G25">
        <v>328.43</v>
      </c>
      <c r="H25">
        <v>292.58999999999997</v>
      </c>
      <c r="J25" s="3">
        <v>890</v>
      </c>
      <c r="K25" s="5">
        <v>-10387.6</v>
      </c>
      <c r="L25">
        <v>284.79000000000002</v>
      </c>
    </row>
    <row r="26" spans="1:14" x14ac:dyDescent="0.15">
      <c r="A26" t="s">
        <v>73</v>
      </c>
      <c r="B26" t="s">
        <v>14</v>
      </c>
      <c r="C26" t="s">
        <v>74</v>
      </c>
      <c r="D26" t="s">
        <v>75</v>
      </c>
      <c r="E26" s="8">
        <v>1650</v>
      </c>
      <c r="F26" t="s">
        <v>76</v>
      </c>
      <c r="G26">
        <v>92.14</v>
      </c>
      <c r="H26">
        <v>87.87</v>
      </c>
      <c r="J26" s="3">
        <v>2000</v>
      </c>
      <c r="K26" s="5">
        <v>-9045.5</v>
      </c>
      <c r="L26">
        <v>80.3</v>
      </c>
    </row>
    <row r="27" spans="1:14" x14ac:dyDescent="0.15">
      <c r="A27" t="s">
        <v>77</v>
      </c>
      <c r="B27" t="s">
        <v>14</v>
      </c>
      <c r="C27" t="s">
        <v>23</v>
      </c>
      <c r="D27" t="s">
        <v>16</v>
      </c>
      <c r="E27" s="8">
        <v>3400</v>
      </c>
      <c r="F27" t="s">
        <v>78</v>
      </c>
      <c r="G27">
        <v>165</v>
      </c>
      <c r="H27">
        <v>151.80000000000001</v>
      </c>
      <c r="J27" s="3">
        <v>4800</v>
      </c>
      <c r="K27" s="5">
        <v>-49680</v>
      </c>
      <c r="L27">
        <v>153</v>
      </c>
      <c r="N27" s="6"/>
    </row>
    <row r="28" spans="1:14" x14ac:dyDescent="0.15">
      <c r="A28" t="s">
        <v>79</v>
      </c>
      <c r="B28" t="s">
        <v>14</v>
      </c>
      <c r="C28" t="s">
        <v>74</v>
      </c>
      <c r="D28" t="s">
        <v>75</v>
      </c>
      <c r="E28" s="8">
        <v>780</v>
      </c>
      <c r="F28" t="s">
        <v>80</v>
      </c>
      <c r="G28">
        <v>98.12</v>
      </c>
      <c r="H28">
        <v>85.28</v>
      </c>
      <c r="J28" s="3">
        <v>1500</v>
      </c>
      <c r="K28" s="5">
        <v>-11515.2</v>
      </c>
      <c r="L28">
        <v>87</v>
      </c>
    </row>
    <row r="29" spans="1:14" x14ac:dyDescent="0.15">
      <c r="A29" t="s">
        <v>81</v>
      </c>
      <c r="B29" t="s">
        <v>14</v>
      </c>
      <c r="C29" t="s">
        <v>82</v>
      </c>
      <c r="D29" t="s">
        <v>12</v>
      </c>
      <c r="E29" s="8">
        <v>13000</v>
      </c>
      <c r="F29" t="s">
        <v>83</v>
      </c>
      <c r="G29">
        <v>5.88</v>
      </c>
      <c r="H29">
        <v>5.65</v>
      </c>
      <c r="J29" s="3">
        <v>870</v>
      </c>
      <c r="K29" s="5">
        <v>-3860</v>
      </c>
      <c r="L29" t="s">
        <v>18</v>
      </c>
    </row>
    <row r="30" spans="1:14" x14ac:dyDescent="0.15">
      <c r="A30" t="s">
        <v>84</v>
      </c>
      <c r="B30" t="s">
        <v>14</v>
      </c>
      <c r="C30" t="s">
        <v>74</v>
      </c>
      <c r="D30" t="s">
        <v>12</v>
      </c>
      <c r="E30" s="8">
        <v>1850</v>
      </c>
      <c r="F30" t="s">
        <v>85</v>
      </c>
      <c r="G30">
        <v>109.1</v>
      </c>
      <c r="H30">
        <v>86.86</v>
      </c>
      <c r="J30" s="3">
        <v>4000</v>
      </c>
      <c r="K30" s="5">
        <v>-45140.3</v>
      </c>
      <c r="L30">
        <v>103</v>
      </c>
      <c r="N30" s="6"/>
    </row>
    <row r="31" spans="1:14" x14ac:dyDescent="0.15">
      <c r="A31" t="s">
        <v>86</v>
      </c>
      <c r="B31" t="s">
        <v>14</v>
      </c>
      <c r="C31" t="s">
        <v>64</v>
      </c>
      <c r="D31" t="s">
        <v>16</v>
      </c>
      <c r="E31" s="8">
        <v>20240</v>
      </c>
      <c r="F31" t="s">
        <v>87</v>
      </c>
      <c r="G31">
        <v>5.39</v>
      </c>
      <c r="H31">
        <v>5.44</v>
      </c>
      <c r="J31" s="3">
        <v>900</v>
      </c>
      <c r="K31" s="5">
        <v>112</v>
      </c>
      <c r="L31">
        <v>4.95</v>
      </c>
    </row>
    <row r="32" spans="1:14" x14ac:dyDescent="0.15">
      <c r="A32" t="s">
        <v>88</v>
      </c>
      <c r="B32" t="s">
        <v>14</v>
      </c>
      <c r="C32" t="s">
        <v>23</v>
      </c>
      <c r="D32" t="s">
        <v>16</v>
      </c>
      <c r="E32" s="8">
        <v>1100</v>
      </c>
      <c r="F32" t="s">
        <v>89</v>
      </c>
      <c r="G32">
        <v>178</v>
      </c>
      <c r="H32">
        <v>178</v>
      </c>
      <c r="J32" s="3">
        <v>2100</v>
      </c>
      <c r="K32" s="5">
        <v>-2100</v>
      </c>
      <c r="L32" t="s">
        <v>18</v>
      </c>
    </row>
    <row r="33" spans="1:16" x14ac:dyDescent="0.15">
      <c r="A33" t="s">
        <v>90</v>
      </c>
      <c r="B33" t="s">
        <v>14</v>
      </c>
      <c r="C33" t="s">
        <v>91</v>
      </c>
      <c r="D33" t="s">
        <v>16</v>
      </c>
      <c r="E33" s="8">
        <v>44817</v>
      </c>
      <c r="F33" t="s">
        <v>92</v>
      </c>
      <c r="G33">
        <v>1.36</v>
      </c>
      <c r="H33">
        <v>1.25</v>
      </c>
      <c r="J33" s="3">
        <v>800</v>
      </c>
      <c r="K33" s="5">
        <v>-5729.87</v>
      </c>
      <c r="L33">
        <v>1.22</v>
      </c>
    </row>
    <row r="34" spans="1:16" x14ac:dyDescent="0.15">
      <c r="A34" t="s">
        <v>93</v>
      </c>
      <c r="B34" t="s">
        <v>14</v>
      </c>
      <c r="C34" t="s">
        <v>91</v>
      </c>
      <c r="D34" t="s">
        <v>16</v>
      </c>
      <c r="E34" s="8">
        <v>80000</v>
      </c>
      <c r="F34" t="s">
        <v>94</v>
      </c>
      <c r="G34">
        <v>1.39</v>
      </c>
      <c r="H34">
        <v>1.25</v>
      </c>
      <c r="J34" s="3">
        <v>1500</v>
      </c>
      <c r="K34" s="5">
        <v>-12700</v>
      </c>
      <c r="L34">
        <v>1.26</v>
      </c>
      <c r="N34" s="6"/>
    </row>
    <row r="35" spans="1:16" x14ac:dyDescent="0.15">
      <c r="A35" t="s">
        <v>95</v>
      </c>
      <c r="B35" t="s">
        <v>14</v>
      </c>
      <c r="C35" t="s">
        <v>61</v>
      </c>
      <c r="D35" t="s">
        <v>12</v>
      </c>
      <c r="E35" s="8">
        <v>19893</v>
      </c>
      <c r="F35" t="s">
        <v>96</v>
      </c>
      <c r="G35">
        <v>6.55</v>
      </c>
      <c r="H35">
        <v>8.48</v>
      </c>
      <c r="J35" s="3">
        <v>1700</v>
      </c>
      <c r="K35" s="5">
        <v>36693.49</v>
      </c>
      <c r="L35">
        <v>5.89</v>
      </c>
    </row>
    <row r="36" spans="1:16" x14ac:dyDescent="0.15">
      <c r="A36" t="s">
        <v>97</v>
      </c>
      <c r="B36" t="s">
        <v>14</v>
      </c>
      <c r="C36" t="s">
        <v>23</v>
      </c>
      <c r="D36" t="s">
        <v>16</v>
      </c>
      <c r="E36" s="8">
        <v>1400</v>
      </c>
      <c r="F36" t="s">
        <v>98</v>
      </c>
      <c r="G36">
        <v>198.75</v>
      </c>
      <c r="H36">
        <v>180</v>
      </c>
      <c r="J36" s="3">
        <v>2000</v>
      </c>
      <c r="K36" s="5">
        <v>-28250</v>
      </c>
      <c r="L36">
        <v>180</v>
      </c>
      <c r="N36" s="6"/>
    </row>
    <row r="37" spans="1:16" x14ac:dyDescent="0.15">
      <c r="A37" t="s">
        <v>99</v>
      </c>
      <c r="B37" t="s">
        <v>14</v>
      </c>
      <c r="C37" t="s">
        <v>61</v>
      </c>
      <c r="D37" t="s">
        <v>16</v>
      </c>
      <c r="E37" s="8">
        <v>9500</v>
      </c>
      <c r="F37" t="s">
        <v>100</v>
      </c>
      <c r="G37">
        <v>7.22</v>
      </c>
      <c r="H37">
        <v>8.48</v>
      </c>
      <c r="J37" s="3">
        <v>655</v>
      </c>
      <c r="K37" s="5">
        <v>11315</v>
      </c>
      <c r="L37">
        <v>6.5</v>
      </c>
    </row>
    <row r="38" spans="1:16" x14ac:dyDescent="0.15">
      <c r="A38" t="s">
        <v>101</v>
      </c>
      <c r="B38" t="s">
        <v>14</v>
      </c>
      <c r="C38" t="s">
        <v>61</v>
      </c>
      <c r="D38" t="s">
        <v>12</v>
      </c>
      <c r="E38" s="8">
        <v>11900</v>
      </c>
      <c r="F38" t="s">
        <v>102</v>
      </c>
      <c r="G38">
        <v>7.6</v>
      </c>
      <c r="H38">
        <v>8.48</v>
      </c>
      <c r="J38" s="3">
        <v>850</v>
      </c>
      <c r="K38" s="5">
        <v>9622</v>
      </c>
      <c r="L38">
        <v>6.85</v>
      </c>
    </row>
    <row r="39" spans="1:16" x14ac:dyDescent="0.15">
      <c r="A39" t="s">
        <v>103</v>
      </c>
      <c r="B39" t="s">
        <v>14</v>
      </c>
      <c r="C39" t="s">
        <v>61</v>
      </c>
      <c r="D39" t="s">
        <v>12</v>
      </c>
      <c r="E39" s="8">
        <v>18000</v>
      </c>
      <c r="F39" t="s">
        <v>104</v>
      </c>
      <c r="G39">
        <v>7.77</v>
      </c>
      <c r="H39">
        <v>8.11</v>
      </c>
      <c r="J39" s="3">
        <v>900</v>
      </c>
      <c r="K39" s="5">
        <v>5220</v>
      </c>
      <c r="L39">
        <v>7</v>
      </c>
    </row>
    <row r="40" spans="1:16" x14ac:dyDescent="0.15">
      <c r="A40" t="s">
        <v>105</v>
      </c>
      <c r="B40" t="s">
        <v>14</v>
      </c>
      <c r="C40" t="s">
        <v>106</v>
      </c>
      <c r="D40" t="s">
        <v>12</v>
      </c>
      <c r="E40" s="8">
        <v>7900</v>
      </c>
      <c r="F40" t="s">
        <v>107</v>
      </c>
      <c r="G40">
        <v>2.92</v>
      </c>
      <c r="H40">
        <v>2.81</v>
      </c>
      <c r="J40" s="3">
        <v>400</v>
      </c>
      <c r="K40" s="5">
        <v>-1269</v>
      </c>
      <c r="L40">
        <v>2.61</v>
      </c>
    </row>
    <row r="41" spans="1:16" x14ac:dyDescent="0.15">
      <c r="A41" t="s">
        <v>108</v>
      </c>
      <c r="B41" t="s">
        <v>14</v>
      </c>
      <c r="C41" t="s">
        <v>61</v>
      </c>
      <c r="D41" t="s">
        <v>12</v>
      </c>
      <c r="E41" s="8">
        <v>18000</v>
      </c>
      <c r="F41" t="s">
        <v>109</v>
      </c>
      <c r="G41">
        <v>7.66</v>
      </c>
      <c r="H41">
        <v>8.5399999999999991</v>
      </c>
      <c r="J41" s="3">
        <v>1000</v>
      </c>
      <c r="K41" s="5">
        <v>14840.92</v>
      </c>
      <c r="L41">
        <v>6.9</v>
      </c>
    </row>
    <row r="42" spans="1:16" x14ac:dyDescent="0.15">
      <c r="A42" t="s">
        <v>110</v>
      </c>
      <c r="B42" t="s">
        <v>14</v>
      </c>
      <c r="C42" t="s">
        <v>106</v>
      </c>
      <c r="D42" t="s">
        <v>12</v>
      </c>
      <c r="E42" s="8">
        <v>42793</v>
      </c>
      <c r="F42" t="s">
        <v>111</v>
      </c>
      <c r="G42">
        <v>2.92</v>
      </c>
      <c r="H42">
        <v>2.81</v>
      </c>
      <c r="J42" s="3">
        <v>1200</v>
      </c>
      <c r="K42" s="5">
        <v>-5907.23</v>
      </c>
      <c r="L42">
        <v>2.62</v>
      </c>
    </row>
    <row r="43" spans="1:16" x14ac:dyDescent="0.15">
      <c r="A43" t="s">
        <v>112</v>
      </c>
      <c r="B43" t="s">
        <v>14</v>
      </c>
      <c r="C43" t="s">
        <v>61</v>
      </c>
      <c r="D43" t="s">
        <v>12</v>
      </c>
      <c r="E43" s="8">
        <v>19500</v>
      </c>
      <c r="F43" t="s">
        <v>113</v>
      </c>
      <c r="G43">
        <v>7.67</v>
      </c>
      <c r="H43">
        <v>8.16</v>
      </c>
      <c r="J43" s="3">
        <v>800</v>
      </c>
      <c r="K43" s="5">
        <v>8818.59</v>
      </c>
      <c r="L43">
        <v>6.9</v>
      </c>
    </row>
    <row r="44" spans="1:16" x14ac:dyDescent="0.15">
      <c r="A44" s="11" t="s">
        <v>114</v>
      </c>
      <c r="B44" s="11" t="s">
        <v>14</v>
      </c>
      <c r="C44" s="11" t="s">
        <v>115</v>
      </c>
      <c r="D44" s="11" t="s">
        <v>20</v>
      </c>
      <c r="E44" s="12">
        <v>1500</v>
      </c>
      <c r="F44" s="11" t="s">
        <v>116</v>
      </c>
      <c r="G44" s="11">
        <v>132.22</v>
      </c>
      <c r="H44" s="11">
        <v>126.7</v>
      </c>
      <c r="I44" s="11"/>
      <c r="J44" s="13">
        <v>1330</v>
      </c>
      <c r="K44" s="14">
        <v>-9610</v>
      </c>
      <c r="L44" s="11">
        <v>126.7</v>
      </c>
      <c r="M44" s="11"/>
      <c r="N44" s="11"/>
      <c r="O44" s="11"/>
      <c r="P44" s="16"/>
    </row>
    <row r="45" spans="1:16" x14ac:dyDescent="0.15">
      <c r="A45" t="s">
        <v>117</v>
      </c>
      <c r="B45" t="s">
        <v>14</v>
      </c>
      <c r="C45" t="s">
        <v>61</v>
      </c>
      <c r="D45" t="s">
        <v>12</v>
      </c>
      <c r="E45" s="8">
        <v>24600</v>
      </c>
      <c r="F45" t="s">
        <v>118</v>
      </c>
      <c r="G45">
        <v>8.7899999999999991</v>
      </c>
      <c r="H45">
        <v>9.5399999999999991</v>
      </c>
      <c r="J45" s="3">
        <v>1600</v>
      </c>
      <c r="K45" s="5">
        <v>16727.599999999999</v>
      </c>
      <c r="L45">
        <v>8.09</v>
      </c>
    </row>
    <row r="46" spans="1:16" x14ac:dyDescent="0.15">
      <c r="A46" t="s">
        <v>119</v>
      </c>
      <c r="B46" t="s">
        <v>14</v>
      </c>
      <c r="C46" t="s">
        <v>120</v>
      </c>
      <c r="D46" t="s">
        <v>75</v>
      </c>
      <c r="E46" s="8">
        <v>2400</v>
      </c>
      <c r="F46" t="s">
        <v>121</v>
      </c>
      <c r="G46">
        <v>34.26</v>
      </c>
      <c r="H46">
        <v>35.1</v>
      </c>
      <c r="J46" s="3">
        <v>900</v>
      </c>
      <c r="K46" s="5">
        <v>1116</v>
      </c>
      <c r="L46">
        <v>32.369999999999997</v>
      </c>
    </row>
    <row r="47" spans="1:16" x14ac:dyDescent="0.15">
      <c r="A47" t="s">
        <v>122</v>
      </c>
      <c r="B47" t="s">
        <v>14</v>
      </c>
      <c r="C47" t="s">
        <v>123</v>
      </c>
      <c r="D47" t="s">
        <v>12</v>
      </c>
      <c r="E47" s="8">
        <v>9300</v>
      </c>
      <c r="F47" t="s">
        <v>124</v>
      </c>
      <c r="G47">
        <v>21.18</v>
      </c>
      <c r="H47">
        <v>26.56</v>
      </c>
      <c r="J47" s="3">
        <v>1800</v>
      </c>
      <c r="K47" s="5">
        <v>48234</v>
      </c>
      <c r="L47">
        <v>18.5</v>
      </c>
    </row>
    <row r="48" spans="1:16" x14ac:dyDescent="0.15">
      <c r="A48" t="s">
        <v>125</v>
      </c>
      <c r="B48" t="s">
        <v>14</v>
      </c>
      <c r="C48" t="s">
        <v>34</v>
      </c>
      <c r="D48" t="s">
        <v>75</v>
      </c>
      <c r="E48" s="8">
        <v>900</v>
      </c>
      <c r="F48" t="s">
        <v>126</v>
      </c>
      <c r="G48">
        <v>352.75</v>
      </c>
      <c r="H48">
        <v>455.1</v>
      </c>
      <c r="J48" s="3">
        <v>3734</v>
      </c>
      <c r="K48" s="5">
        <v>88381</v>
      </c>
      <c r="L48">
        <v>335</v>
      </c>
    </row>
    <row r="49" spans="1:14" x14ac:dyDescent="0.15">
      <c r="A49" t="s">
        <v>127</v>
      </c>
      <c r="B49" t="s">
        <v>14</v>
      </c>
      <c r="C49" t="s">
        <v>128</v>
      </c>
      <c r="D49" t="s">
        <v>75</v>
      </c>
      <c r="E49" s="8">
        <v>400</v>
      </c>
      <c r="F49" t="s">
        <v>129</v>
      </c>
      <c r="G49">
        <v>545.08000000000004</v>
      </c>
      <c r="H49">
        <v>559.97</v>
      </c>
      <c r="J49" s="3">
        <v>2354</v>
      </c>
      <c r="K49" s="5">
        <v>3602</v>
      </c>
      <c r="L49">
        <v>511</v>
      </c>
    </row>
    <row r="50" spans="1:14" x14ac:dyDescent="0.15">
      <c r="A50" t="s">
        <v>109</v>
      </c>
      <c r="B50" t="s">
        <v>14</v>
      </c>
      <c r="C50" t="s">
        <v>123</v>
      </c>
      <c r="D50" t="s">
        <v>12</v>
      </c>
      <c r="E50" s="8">
        <v>9700</v>
      </c>
      <c r="F50" t="s">
        <v>130</v>
      </c>
      <c r="G50">
        <v>21.19</v>
      </c>
      <c r="H50">
        <v>26.97</v>
      </c>
      <c r="J50" s="3">
        <v>2450</v>
      </c>
      <c r="K50" s="5">
        <v>53599</v>
      </c>
      <c r="L50">
        <v>19.57</v>
      </c>
    </row>
    <row r="51" spans="1:14" x14ac:dyDescent="0.15">
      <c r="A51" t="s">
        <v>131</v>
      </c>
      <c r="B51" t="s">
        <v>14</v>
      </c>
      <c r="C51" t="s">
        <v>34</v>
      </c>
      <c r="D51" t="s">
        <v>12</v>
      </c>
      <c r="E51" s="8">
        <v>600</v>
      </c>
      <c r="F51" t="s">
        <v>132</v>
      </c>
      <c r="G51">
        <v>349.22</v>
      </c>
      <c r="H51">
        <v>445.1</v>
      </c>
      <c r="J51" s="3">
        <v>2475</v>
      </c>
      <c r="K51" s="5">
        <v>55053</v>
      </c>
      <c r="L51">
        <v>232.62</v>
      </c>
    </row>
    <row r="52" spans="1:14" x14ac:dyDescent="0.15">
      <c r="A52" t="s">
        <v>133</v>
      </c>
      <c r="B52" t="s">
        <v>14</v>
      </c>
      <c r="C52" t="s">
        <v>34</v>
      </c>
      <c r="D52" t="s">
        <v>12</v>
      </c>
      <c r="E52" s="8">
        <v>550</v>
      </c>
      <c r="F52" t="s">
        <v>134</v>
      </c>
      <c r="G52">
        <v>372.4</v>
      </c>
      <c r="H52">
        <v>445.1</v>
      </c>
      <c r="J52" s="3">
        <v>2445</v>
      </c>
      <c r="K52" s="5">
        <v>37540</v>
      </c>
      <c r="L52">
        <v>344</v>
      </c>
    </row>
    <row r="53" spans="1:14" x14ac:dyDescent="0.15">
      <c r="A53" t="s">
        <v>135</v>
      </c>
      <c r="B53" t="s">
        <v>14</v>
      </c>
      <c r="C53" t="s">
        <v>23</v>
      </c>
      <c r="D53" t="s">
        <v>12</v>
      </c>
      <c r="E53" s="8">
        <v>1000</v>
      </c>
      <c r="F53" t="s">
        <v>136</v>
      </c>
      <c r="G53">
        <v>215.56</v>
      </c>
      <c r="H53">
        <v>296.24</v>
      </c>
      <c r="J53" s="3">
        <v>2630</v>
      </c>
      <c r="K53" s="5">
        <v>78050</v>
      </c>
      <c r="L53">
        <v>195.46</v>
      </c>
    </row>
    <row r="54" spans="1:14" x14ac:dyDescent="0.15">
      <c r="A54" t="s">
        <v>137</v>
      </c>
      <c r="B54" t="s">
        <v>14</v>
      </c>
      <c r="C54" t="s">
        <v>23</v>
      </c>
      <c r="D54" t="s">
        <v>71</v>
      </c>
      <c r="E54" s="8">
        <v>900</v>
      </c>
      <c r="F54" t="s">
        <v>138</v>
      </c>
      <c r="G54">
        <v>233.4</v>
      </c>
      <c r="H54">
        <v>296.24</v>
      </c>
      <c r="J54" s="3">
        <v>2496</v>
      </c>
      <c r="K54" s="5">
        <v>54060</v>
      </c>
      <c r="L54">
        <v>209.69</v>
      </c>
    </row>
    <row r="55" spans="1:14" x14ac:dyDescent="0.15">
      <c r="A55" t="s">
        <v>139</v>
      </c>
      <c r="B55" t="s">
        <v>14</v>
      </c>
      <c r="C55" t="s">
        <v>140</v>
      </c>
      <c r="D55" t="s">
        <v>12</v>
      </c>
      <c r="E55" s="8">
        <v>1800</v>
      </c>
      <c r="F55" t="s">
        <v>141</v>
      </c>
      <c r="G55">
        <v>124.6</v>
      </c>
      <c r="H55">
        <v>121.6</v>
      </c>
      <c r="J55" s="3">
        <v>2400</v>
      </c>
      <c r="K55" s="5">
        <v>-7800</v>
      </c>
      <c r="L55">
        <v>109.55</v>
      </c>
    </row>
    <row r="56" spans="1:14" x14ac:dyDescent="0.15">
      <c r="A56" t="s">
        <v>142</v>
      </c>
      <c r="B56" t="s">
        <v>14</v>
      </c>
      <c r="C56" t="s">
        <v>23</v>
      </c>
      <c r="D56" t="s">
        <v>12</v>
      </c>
      <c r="E56" s="8">
        <v>900</v>
      </c>
      <c r="F56" t="s">
        <v>143</v>
      </c>
      <c r="G56">
        <v>265.85000000000002</v>
      </c>
      <c r="H56">
        <v>283.58</v>
      </c>
      <c r="J56" s="3">
        <v>2679</v>
      </c>
      <c r="K56" s="5">
        <v>13280</v>
      </c>
      <c r="L56">
        <v>234</v>
      </c>
    </row>
    <row r="57" spans="1:14" x14ac:dyDescent="0.15">
      <c r="A57" t="s">
        <v>144</v>
      </c>
      <c r="B57" t="s">
        <v>14</v>
      </c>
      <c r="C57" t="s">
        <v>23</v>
      </c>
      <c r="D57" t="s">
        <v>12</v>
      </c>
      <c r="E57" s="8">
        <v>1200</v>
      </c>
      <c r="F57" t="s">
        <v>145</v>
      </c>
      <c r="G57">
        <v>345.8</v>
      </c>
      <c r="H57">
        <v>270.08</v>
      </c>
      <c r="J57" s="3">
        <v>3122</v>
      </c>
      <c r="K57" s="5">
        <v>-93982</v>
      </c>
      <c r="L57">
        <v>298</v>
      </c>
      <c r="N57" s="6"/>
    </row>
    <row r="58" spans="1:14" x14ac:dyDescent="0.15">
      <c r="A58" t="s">
        <v>146</v>
      </c>
      <c r="B58" t="s">
        <v>14</v>
      </c>
      <c r="C58" t="s">
        <v>61</v>
      </c>
      <c r="D58" t="s">
        <v>12</v>
      </c>
      <c r="E58" s="8">
        <v>18000</v>
      </c>
      <c r="F58" t="s">
        <v>147</v>
      </c>
      <c r="G58">
        <v>10.98</v>
      </c>
      <c r="H58">
        <v>11.47</v>
      </c>
      <c r="J58" s="3">
        <v>2150</v>
      </c>
      <c r="K58" s="5">
        <v>6670</v>
      </c>
      <c r="L58">
        <v>9.68</v>
      </c>
    </row>
    <row r="59" spans="1:14" x14ac:dyDescent="0.15">
      <c r="A59" t="s">
        <v>148</v>
      </c>
      <c r="B59" t="s">
        <v>14</v>
      </c>
      <c r="C59" t="s">
        <v>61</v>
      </c>
      <c r="D59" t="s">
        <v>12</v>
      </c>
      <c r="E59" s="8">
        <v>21000</v>
      </c>
      <c r="F59" t="s">
        <v>149</v>
      </c>
      <c r="G59">
        <v>11.32</v>
      </c>
      <c r="H59">
        <v>11.62</v>
      </c>
      <c r="J59" s="3">
        <v>2550</v>
      </c>
      <c r="K59" s="5">
        <v>3720</v>
      </c>
      <c r="L59">
        <v>10.58</v>
      </c>
    </row>
    <row r="60" spans="1:14" x14ac:dyDescent="0.15">
      <c r="A60" t="s">
        <v>150</v>
      </c>
      <c r="B60" t="s">
        <v>14</v>
      </c>
      <c r="C60" t="s">
        <v>34</v>
      </c>
      <c r="D60" t="s">
        <v>12</v>
      </c>
      <c r="E60" s="8">
        <v>500</v>
      </c>
      <c r="F60" t="s">
        <v>151</v>
      </c>
      <c r="G60">
        <v>447.89</v>
      </c>
      <c r="H60">
        <v>442</v>
      </c>
      <c r="J60" s="3">
        <v>2360</v>
      </c>
      <c r="K60" s="5">
        <v>-5305</v>
      </c>
      <c r="L60">
        <v>399.44</v>
      </c>
    </row>
    <row r="61" spans="1:14" x14ac:dyDescent="0.15">
      <c r="A61" t="s">
        <v>152</v>
      </c>
      <c r="B61" t="s">
        <v>14</v>
      </c>
      <c r="C61" t="s">
        <v>153</v>
      </c>
      <c r="D61" t="s">
        <v>12</v>
      </c>
      <c r="E61" s="8">
        <v>2000</v>
      </c>
      <c r="F61" t="s">
        <v>154</v>
      </c>
      <c r="G61">
        <v>96.95</v>
      </c>
      <c r="H61">
        <v>78.44</v>
      </c>
      <c r="J61" s="3">
        <v>1920</v>
      </c>
      <c r="K61" s="5">
        <v>-38940</v>
      </c>
      <c r="L61">
        <v>87.2</v>
      </c>
      <c r="N61" s="6"/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9"/>
  <sheetViews>
    <sheetView tabSelected="1" topLeftCell="A21" workbookViewId="0">
      <selection activeCell="G8" sqref="G8:G60"/>
    </sheetView>
  </sheetViews>
  <sheetFormatPr baseColWidth="10" defaultRowHeight="13" x14ac:dyDescent="0.15"/>
  <cols>
    <col min="2" max="2" width="12.6640625" style="18" bestFit="1" customWidth="1"/>
    <col min="4" max="4" width="12.6640625" style="18" bestFit="1" customWidth="1"/>
    <col min="7" max="7" width="11.6640625" style="3" bestFit="1" customWidth="1"/>
    <col min="8" max="9" width="10.83203125" style="18"/>
  </cols>
  <sheetData>
    <row r="1" spans="1:8" x14ac:dyDescent="0.15">
      <c r="A1">
        <v>2024</v>
      </c>
    </row>
    <row r="2" spans="1:8" x14ac:dyDescent="0.15">
      <c r="B2" s="20"/>
      <c r="D2" s="20" t="s">
        <v>158</v>
      </c>
      <c r="E2" s="17" t="s">
        <v>155</v>
      </c>
      <c r="F2" s="17" t="s">
        <v>159</v>
      </c>
    </row>
    <row r="3" spans="1:8" x14ac:dyDescent="0.15">
      <c r="B3" s="20" t="s">
        <v>156</v>
      </c>
      <c r="C3">
        <v>17</v>
      </c>
      <c r="D3" s="18">
        <v>1911000</v>
      </c>
      <c r="E3">
        <f>D3*0.01</f>
        <v>19110</v>
      </c>
      <c r="F3">
        <v>1.6</v>
      </c>
      <c r="G3" s="3">
        <f>F3*E3*C3</f>
        <v>519792</v>
      </c>
    </row>
    <row r="4" spans="1:8" x14ac:dyDescent="0.15">
      <c r="B4" s="20" t="s">
        <v>157</v>
      </c>
      <c r="C4">
        <v>14</v>
      </c>
      <c r="D4" s="18">
        <v>1911000</v>
      </c>
      <c r="E4">
        <f>D4*0.01</f>
        <v>19110</v>
      </c>
      <c r="F4">
        <f>-0.92</f>
        <v>-0.92</v>
      </c>
      <c r="G4" s="3">
        <f>F4*E4*C4</f>
        <v>-246136.80000000002</v>
      </c>
    </row>
    <row r="6" spans="1:8" x14ac:dyDescent="0.15">
      <c r="A6">
        <v>2024</v>
      </c>
      <c r="B6" s="21" t="s">
        <v>155</v>
      </c>
      <c r="D6" s="21" t="s">
        <v>160</v>
      </c>
      <c r="F6">
        <v>2025</v>
      </c>
    </row>
    <row r="7" spans="1:8" x14ac:dyDescent="0.15">
      <c r="A7" s="17" t="s">
        <v>161</v>
      </c>
      <c r="C7" s="17" t="s">
        <v>163</v>
      </c>
      <c r="D7" s="18">
        <v>1911000</v>
      </c>
      <c r="F7" s="17" t="s">
        <v>162</v>
      </c>
      <c r="G7" s="19" t="s">
        <v>164</v>
      </c>
      <c r="H7" s="18">
        <v>2020000</v>
      </c>
    </row>
    <row r="8" spans="1:8" x14ac:dyDescent="0.15">
      <c r="A8">
        <v>1</v>
      </c>
      <c r="B8" s="18">
        <f>0.01*D7</f>
        <v>19110</v>
      </c>
      <c r="C8">
        <v>1.6</v>
      </c>
      <c r="D8" s="18">
        <f>C8*B8+D7</f>
        <v>1941576</v>
      </c>
      <c r="F8" s="18">
        <f>0.01*H7</f>
        <v>20200</v>
      </c>
      <c r="G8">
        <v>1.44</v>
      </c>
      <c r="H8" s="18">
        <f>G8*F8+H7</f>
        <v>2049088</v>
      </c>
    </row>
    <row r="9" spans="1:8" x14ac:dyDescent="0.15">
      <c r="A9">
        <v>2</v>
      </c>
      <c r="B9" s="18">
        <f>0.01*D8</f>
        <v>19415.760000000002</v>
      </c>
      <c r="C9">
        <v>1.6</v>
      </c>
      <c r="D9" s="18">
        <f t="shared" ref="D9:D38" si="0">C9*B9+D8</f>
        <v>1972641.216</v>
      </c>
      <c r="F9" s="18">
        <f t="shared" ref="F9:F60" si="1">0.01*H8</f>
        <v>20490.88</v>
      </c>
      <c r="G9">
        <v>1.44</v>
      </c>
      <c r="H9" s="18">
        <f t="shared" ref="H9:H60" si="2">G9*F9+H8</f>
        <v>2078594.8672</v>
      </c>
    </row>
    <row r="10" spans="1:8" x14ac:dyDescent="0.15">
      <c r="A10">
        <v>3</v>
      </c>
      <c r="B10" s="18">
        <f t="shared" ref="B10:B38" si="3">0.01*D9</f>
        <v>19726.41216</v>
      </c>
      <c r="C10">
        <f>-0.92</f>
        <v>-0.92</v>
      </c>
      <c r="D10" s="18">
        <f t="shared" si="0"/>
        <v>1954492.9168128001</v>
      </c>
      <c r="F10" s="18">
        <f t="shared" si="1"/>
        <v>20785.948671999999</v>
      </c>
      <c r="G10">
        <f>-0.71</f>
        <v>-0.71</v>
      </c>
      <c r="H10" s="18">
        <f t="shared" si="2"/>
        <v>2063836.84364288</v>
      </c>
    </row>
    <row r="11" spans="1:8" x14ac:dyDescent="0.15">
      <c r="A11">
        <v>4</v>
      </c>
      <c r="B11" s="18">
        <f t="shared" si="3"/>
        <v>19544.929168128001</v>
      </c>
      <c r="C11">
        <f>-0.92</f>
        <v>-0.92</v>
      </c>
      <c r="D11" s="18">
        <f t="shared" si="0"/>
        <v>1936511.5819781222</v>
      </c>
      <c r="F11" s="18">
        <f t="shared" si="1"/>
        <v>20638.368436428802</v>
      </c>
      <c r="G11">
        <v>1.44</v>
      </c>
      <c r="H11" s="18">
        <f t="shared" si="2"/>
        <v>2093556.0941913375</v>
      </c>
    </row>
    <row r="12" spans="1:8" x14ac:dyDescent="0.15">
      <c r="A12">
        <v>5</v>
      </c>
      <c r="B12" s="18">
        <f t="shared" si="3"/>
        <v>19365.115819781222</v>
      </c>
      <c r="C12">
        <f>-0.92</f>
        <v>-0.92</v>
      </c>
      <c r="D12" s="18">
        <f t="shared" si="0"/>
        <v>1918695.6754239234</v>
      </c>
      <c r="F12" s="18">
        <f t="shared" si="1"/>
        <v>20935.560941913376</v>
      </c>
      <c r="G12">
        <v>1.44</v>
      </c>
      <c r="H12" s="18">
        <f t="shared" si="2"/>
        <v>2123703.3019476929</v>
      </c>
    </row>
    <row r="13" spans="1:8" x14ac:dyDescent="0.15">
      <c r="A13">
        <v>6</v>
      </c>
      <c r="B13" s="18">
        <f t="shared" si="3"/>
        <v>19186.956754239236</v>
      </c>
      <c r="C13">
        <f>-0.92</f>
        <v>-0.92</v>
      </c>
      <c r="D13" s="18">
        <f t="shared" si="0"/>
        <v>1901043.6752100233</v>
      </c>
      <c r="F13" s="18">
        <f t="shared" si="1"/>
        <v>21237.03301947693</v>
      </c>
      <c r="G13">
        <f>-0.71</f>
        <v>-0.71</v>
      </c>
      <c r="H13" s="18">
        <f t="shared" si="2"/>
        <v>2108625.0085038641</v>
      </c>
    </row>
    <row r="14" spans="1:8" x14ac:dyDescent="0.15">
      <c r="A14">
        <v>7</v>
      </c>
      <c r="B14" s="18">
        <f t="shared" si="3"/>
        <v>19010.436752100235</v>
      </c>
      <c r="C14">
        <v>1.6</v>
      </c>
      <c r="D14" s="18">
        <f t="shared" si="0"/>
        <v>1931460.3740133836</v>
      </c>
      <c r="F14" s="18">
        <f t="shared" si="1"/>
        <v>21086.250085038642</v>
      </c>
      <c r="G14">
        <f>-0.71</f>
        <v>-0.71</v>
      </c>
      <c r="H14" s="18">
        <f t="shared" si="2"/>
        <v>2093653.7709434866</v>
      </c>
    </row>
    <row r="15" spans="1:8" x14ac:dyDescent="0.15">
      <c r="A15">
        <v>8</v>
      </c>
      <c r="B15" s="18">
        <f t="shared" si="3"/>
        <v>19314.603740133836</v>
      </c>
      <c r="C15">
        <v>1.6</v>
      </c>
      <c r="D15" s="18">
        <f t="shared" si="0"/>
        <v>1962363.7399975979</v>
      </c>
      <c r="F15" s="18">
        <f t="shared" si="1"/>
        <v>20936.537709434866</v>
      </c>
      <c r="G15">
        <f>-0.71</f>
        <v>-0.71</v>
      </c>
      <c r="H15" s="18">
        <f t="shared" si="2"/>
        <v>2078788.8291697879</v>
      </c>
    </row>
    <row r="16" spans="1:8" x14ac:dyDescent="0.15">
      <c r="A16">
        <v>9</v>
      </c>
      <c r="B16" s="18">
        <f t="shared" si="3"/>
        <v>19623.637399975978</v>
      </c>
      <c r="C16">
        <f>-0.92</f>
        <v>-0.92</v>
      </c>
      <c r="D16" s="18">
        <f t="shared" si="0"/>
        <v>1944309.9935896199</v>
      </c>
      <c r="F16" s="18">
        <f t="shared" si="1"/>
        <v>20787.88829169788</v>
      </c>
      <c r="G16">
        <v>1.44</v>
      </c>
      <c r="H16" s="18">
        <f t="shared" si="2"/>
        <v>2108723.3883098327</v>
      </c>
    </row>
    <row r="17" spans="1:8" x14ac:dyDescent="0.15">
      <c r="A17">
        <v>10</v>
      </c>
      <c r="B17" s="18">
        <f t="shared" si="3"/>
        <v>19443.0999358962</v>
      </c>
      <c r="C17">
        <v>1.6</v>
      </c>
      <c r="D17" s="18">
        <f t="shared" si="0"/>
        <v>1975418.9534870537</v>
      </c>
      <c r="F17" s="18">
        <f t="shared" si="1"/>
        <v>21087.233883098328</v>
      </c>
      <c r="G17">
        <v>1.44</v>
      </c>
      <c r="H17" s="18">
        <f t="shared" si="2"/>
        <v>2139089.005101494</v>
      </c>
    </row>
    <row r="18" spans="1:8" x14ac:dyDescent="0.15">
      <c r="A18">
        <v>11</v>
      </c>
      <c r="B18" s="18">
        <f t="shared" si="3"/>
        <v>19754.189534870537</v>
      </c>
      <c r="C18">
        <f>-0.92</f>
        <v>-0.92</v>
      </c>
      <c r="D18" s="18">
        <f t="shared" si="0"/>
        <v>1957245.0991149729</v>
      </c>
      <c r="F18" s="18">
        <f t="shared" si="1"/>
        <v>21390.89005101494</v>
      </c>
      <c r="G18">
        <v>1.44</v>
      </c>
      <c r="H18" s="18">
        <f t="shared" si="2"/>
        <v>2169891.8867749553</v>
      </c>
    </row>
    <row r="19" spans="1:8" x14ac:dyDescent="0.15">
      <c r="A19">
        <v>12</v>
      </c>
      <c r="B19" s="18">
        <f t="shared" si="3"/>
        <v>19572.45099114973</v>
      </c>
      <c r="C19">
        <v>1.6</v>
      </c>
      <c r="D19" s="18">
        <f t="shared" si="0"/>
        <v>1988561.0207008123</v>
      </c>
      <c r="F19" s="18">
        <f t="shared" si="1"/>
        <v>21698.918867749555</v>
      </c>
      <c r="G19">
        <f>-0.71</f>
        <v>-0.71</v>
      </c>
      <c r="H19" s="18">
        <f t="shared" si="2"/>
        <v>2154485.6543788533</v>
      </c>
    </row>
    <row r="20" spans="1:8" x14ac:dyDescent="0.15">
      <c r="A20">
        <v>13</v>
      </c>
      <c r="B20" s="18">
        <f t="shared" si="3"/>
        <v>19885.610207008125</v>
      </c>
      <c r="C20">
        <f>-0.92</f>
        <v>-0.92</v>
      </c>
      <c r="D20" s="18">
        <f t="shared" si="0"/>
        <v>1970266.259310365</v>
      </c>
      <c r="F20" s="18">
        <f t="shared" si="1"/>
        <v>21544.856543788534</v>
      </c>
      <c r="G20">
        <f>-0.71</f>
        <v>-0.71</v>
      </c>
      <c r="H20" s="18">
        <f t="shared" si="2"/>
        <v>2139188.8062327635</v>
      </c>
    </row>
    <row r="21" spans="1:8" x14ac:dyDescent="0.15">
      <c r="A21">
        <v>14</v>
      </c>
      <c r="B21" s="18">
        <f t="shared" si="3"/>
        <v>19702.662593103651</v>
      </c>
      <c r="C21">
        <v>1.6</v>
      </c>
      <c r="D21" s="18">
        <f t="shared" si="0"/>
        <v>2001790.5194593307</v>
      </c>
      <c r="F21" s="18">
        <f t="shared" si="1"/>
        <v>21391.888062327635</v>
      </c>
      <c r="G21">
        <v>1.44</v>
      </c>
      <c r="H21" s="18">
        <f t="shared" si="2"/>
        <v>2169993.1250425153</v>
      </c>
    </row>
    <row r="22" spans="1:8" x14ac:dyDescent="0.15">
      <c r="A22">
        <v>15</v>
      </c>
      <c r="B22" s="18">
        <f t="shared" si="3"/>
        <v>20017.905194593306</v>
      </c>
      <c r="C22">
        <f>-0.92</f>
        <v>-0.92</v>
      </c>
      <c r="D22" s="18">
        <f t="shared" si="0"/>
        <v>1983374.0466803049</v>
      </c>
      <c r="F22" s="18">
        <f t="shared" si="1"/>
        <v>21699.931250425154</v>
      </c>
      <c r="G22">
        <v>1.44</v>
      </c>
      <c r="H22" s="18">
        <f t="shared" si="2"/>
        <v>2201241.0260431278</v>
      </c>
    </row>
    <row r="23" spans="1:8" x14ac:dyDescent="0.15">
      <c r="A23">
        <v>16</v>
      </c>
      <c r="B23" s="18">
        <f t="shared" si="3"/>
        <v>19833.74046680305</v>
      </c>
      <c r="C23">
        <f>-0.92</f>
        <v>-0.92</v>
      </c>
      <c r="D23" s="18">
        <f t="shared" si="0"/>
        <v>1965127.0054508462</v>
      </c>
      <c r="F23" s="18">
        <f t="shared" si="1"/>
        <v>22012.410260431279</v>
      </c>
      <c r="G23">
        <f>-0.71</f>
        <v>-0.71</v>
      </c>
      <c r="H23" s="18">
        <f t="shared" si="2"/>
        <v>2185612.2147582215</v>
      </c>
    </row>
    <row r="24" spans="1:8" x14ac:dyDescent="0.15">
      <c r="A24">
        <v>17</v>
      </c>
      <c r="B24" s="18">
        <f t="shared" si="3"/>
        <v>19651.270054508463</v>
      </c>
      <c r="C24">
        <v>1.6</v>
      </c>
      <c r="D24" s="18">
        <f t="shared" si="0"/>
        <v>1996569.0375380598</v>
      </c>
      <c r="F24" s="18">
        <f t="shared" si="1"/>
        <v>21856.122147582217</v>
      </c>
      <c r="G24">
        <f>-0.71</f>
        <v>-0.71</v>
      </c>
      <c r="H24" s="18">
        <f t="shared" si="2"/>
        <v>2170094.368033438</v>
      </c>
    </row>
    <row r="25" spans="1:8" x14ac:dyDescent="0.15">
      <c r="A25">
        <v>18</v>
      </c>
      <c r="B25" s="18">
        <f t="shared" si="3"/>
        <v>19965.690375380596</v>
      </c>
      <c r="C25">
        <v>1.6</v>
      </c>
      <c r="D25" s="18">
        <f t="shared" si="0"/>
        <v>2028514.1421386688</v>
      </c>
      <c r="F25" s="18">
        <f t="shared" si="1"/>
        <v>21700.943680334381</v>
      </c>
      <c r="G25">
        <v>1.44</v>
      </c>
      <c r="H25" s="18">
        <f t="shared" si="2"/>
        <v>2201343.7269331194</v>
      </c>
    </row>
    <row r="26" spans="1:8" x14ac:dyDescent="0.15">
      <c r="A26">
        <v>19</v>
      </c>
      <c r="B26" s="18">
        <f t="shared" si="3"/>
        <v>20285.141421386688</v>
      </c>
      <c r="C26">
        <v>1.6</v>
      </c>
      <c r="D26" s="18">
        <f t="shared" si="0"/>
        <v>2060970.3684128874</v>
      </c>
      <c r="F26" s="18">
        <f t="shared" si="1"/>
        <v>22013.437269331193</v>
      </c>
      <c r="G26">
        <f>-0.71</f>
        <v>-0.71</v>
      </c>
      <c r="H26" s="18">
        <f t="shared" si="2"/>
        <v>2185714.1864718944</v>
      </c>
    </row>
    <row r="27" spans="1:8" x14ac:dyDescent="0.15">
      <c r="A27">
        <v>20</v>
      </c>
      <c r="B27" s="18">
        <f t="shared" si="3"/>
        <v>20609.703684128875</v>
      </c>
      <c r="C27">
        <f>-0.92</f>
        <v>-0.92</v>
      </c>
      <c r="D27" s="18">
        <f t="shared" si="0"/>
        <v>2042009.441023489</v>
      </c>
      <c r="F27" s="18">
        <f t="shared" si="1"/>
        <v>21857.141864718946</v>
      </c>
      <c r="G27">
        <v>1.44</v>
      </c>
      <c r="H27" s="18">
        <f t="shared" si="2"/>
        <v>2217188.4707570896</v>
      </c>
    </row>
    <row r="28" spans="1:8" x14ac:dyDescent="0.15">
      <c r="A28">
        <v>21</v>
      </c>
      <c r="B28" s="18">
        <f t="shared" si="3"/>
        <v>20420.094410234891</v>
      </c>
      <c r="C28">
        <v>1.6</v>
      </c>
      <c r="D28" s="18">
        <f t="shared" si="0"/>
        <v>2074681.5920798648</v>
      </c>
      <c r="F28" s="18">
        <f t="shared" si="1"/>
        <v>22171.884707570895</v>
      </c>
      <c r="G28">
        <f>-0.71</f>
        <v>-0.71</v>
      </c>
      <c r="H28" s="18">
        <f t="shared" si="2"/>
        <v>2201446.4326147144</v>
      </c>
    </row>
    <row r="29" spans="1:8" x14ac:dyDescent="0.15">
      <c r="A29">
        <v>22</v>
      </c>
      <c r="B29" s="18">
        <f t="shared" si="3"/>
        <v>20746.81592079865</v>
      </c>
      <c r="C29">
        <v>1.6</v>
      </c>
      <c r="D29" s="18">
        <f t="shared" si="0"/>
        <v>2107876.4975531427</v>
      </c>
      <c r="F29" s="18">
        <f t="shared" si="1"/>
        <v>22014.464326147143</v>
      </c>
      <c r="G29">
        <v>1.44</v>
      </c>
      <c r="H29" s="18">
        <f t="shared" si="2"/>
        <v>2233147.2612443664</v>
      </c>
    </row>
    <row r="30" spans="1:8" x14ac:dyDescent="0.15">
      <c r="A30">
        <v>23</v>
      </c>
      <c r="B30" s="18">
        <f t="shared" si="3"/>
        <v>21078.764975531427</v>
      </c>
      <c r="C30">
        <f>-0.92</f>
        <v>-0.92</v>
      </c>
      <c r="D30" s="18">
        <f t="shared" si="0"/>
        <v>2088484.0337756537</v>
      </c>
      <c r="F30" s="18">
        <f t="shared" si="1"/>
        <v>22331.472612443664</v>
      </c>
      <c r="G30">
        <f>-0.71</f>
        <v>-0.71</v>
      </c>
      <c r="H30" s="18">
        <f t="shared" si="2"/>
        <v>2217291.9156895312</v>
      </c>
    </row>
    <row r="31" spans="1:8" x14ac:dyDescent="0.15">
      <c r="A31">
        <v>24</v>
      </c>
      <c r="B31" s="18">
        <f t="shared" si="3"/>
        <v>20884.840337756537</v>
      </c>
      <c r="C31">
        <f>-0.92</f>
        <v>-0.92</v>
      </c>
      <c r="D31" s="18">
        <f t="shared" si="0"/>
        <v>2069269.9806649177</v>
      </c>
      <c r="F31" s="18">
        <f t="shared" si="1"/>
        <v>22172.919156895314</v>
      </c>
      <c r="G31">
        <v>1.44</v>
      </c>
      <c r="H31" s="18">
        <f t="shared" si="2"/>
        <v>2249220.9192754603</v>
      </c>
    </row>
    <row r="32" spans="1:8" x14ac:dyDescent="0.15">
      <c r="A32">
        <v>25</v>
      </c>
      <c r="B32" s="18">
        <f t="shared" si="3"/>
        <v>20692.699806649176</v>
      </c>
      <c r="C32">
        <f>-0.92</f>
        <v>-0.92</v>
      </c>
      <c r="D32" s="18">
        <f t="shared" si="0"/>
        <v>2050232.6968428006</v>
      </c>
      <c r="F32" s="18">
        <f t="shared" si="1"/>
        <v>22492.209192754603</v>
      </c>
      <c r="G32">
        <v>1.44</v>
      </c>
      <c r="H32" s="18">
        <f t="shared" si="2"/>
        <v>2281609.7005130271</v>
      </c>
    </row>
    <row r="33" spans="1:8" x14ac:dyDescent="0.15">
      <c r="A33">
        <v>26</v>
      </c>
      <c r="B33" s="18">
        <f t="shared" si="3"/>
        <v>20502.326968428006</v>
      </c>
      <c r="C33">
        <v>1.6</v>
      </c>
      <c r="D33" s="18">
        <f t="shared" si="0"/>
        <v>2083036.4199922853</v>
      </c>
      <c r="F33" s="18">
        <f t="shared" si="1"/>
        <v>22816.097005130272</v>
      </c>
      <c r="G33">
        <v>1.44</v>
      </c>
      <c r="H33" s="18">
        <f t="shared" si="2"/>
        <v>2314464.8802004149</v>
      </c>
    </row>
    <row r="34" spans="1:8" x14ac:dyDescent="0.15">
      <c r="A34">
        <v>27</v>
      </c>
      <c r="B34" s="18">
        <f t="shared" si="3"/>
        <v>20830.364199922853</v>
      </c>
      <c r="C34">
        <v>1.6</v>
      </c>
      <c r="D34" s="18">
        <f t="shared" si="0"/>
        <v>2116365.0027121617</v>
      </c>
      <c r="F34" s="18">
        <f t="shared" si="1"/>
        <v>23144.648802004151</v>
      </c>
      <c r="G34">
        <f>-0.71</f>
        <v>-0.71</v>
      </c>
      <c r="H34" s="18">
        <f t="shared" si="2"/>
        <v>2298032.1795509919</v>
      </c>
    </row>
    <row r="35" spans="1:8" x14ac:dyDescent="0.15">
      <c r="A35">
        <v>28</v>
      </c>
      <c r="B35" s="18">
        <f t="shared" si="3"/>
        <v>21163.650027121617</v>
      </c>
      <c r="C35">
        <v>1.6</v>
      </c>
      <c r="D35" s="18">
        <f t="shared" si="0"/>
        <v>2150226.8427555561</v>
      </c>
      <c r="F35" s="18">
        <f t="shared" si="1"/>
        <v>22980.321795509921</v>
      </c>
      <c r="G35">
        <f>-0.71</f>
        <v>-0.71</v>
      </c>
      <c r="H35" s="18">
        <f t="shared" si="2"/>
        <v>2281716.1510761799</v>
      </c>
    </row>
    <row r="36" spans="1:8" x14ac:dyDescent="0.15">
      <c r="A36">
        <v>29</v>
      </c>
      <c r="B36" s="18">
        <f t="shared" si="3"/>
        <v>21502.268427555562</v>
      </c>
      <c r="C36">
        <f>-0.92</f>
        <v>-0.92</v>
      </c>
      <c r="D36" s="18">
        <f t="shared" si="0"/>
        <v>2130444.7558022048</v>
      </c>
      <c r="F36" s="18">
        <f t="shared" si="1"/>
        <v>22817.161510761798</v>
      </c>
      <c r="G36">
        <v>1.44</v>
      </c>
      <c r="H36" s="18">
        <f t="shared" si="2"/>
        <v>2314572.863651677</v>
      </c>
    </row>
    <row r="37" spans="1:8" x14ac:dyDescent="0.15">
      <c r="A37">
        <v>30</v>
      </c>
      <c r="B37" s="18">
        <f t="shared" si="3"/>
        <v>21304.44755802205</v>
      </c>
      <c r="C37">
        <v>1.6</v>
      </c>
      <c r="D37" s="18">
        <f t="shared" si="0"/>
        <v>2164531.8718950399</v>
      </c>
      <c r="F37" s="18">
        <f t="shared" si="1"/>
        <v>23145.728636516771</v>
      </c>
      <c r="G37">
        <v>1.44</v>
      </c>
      <c r="H37" s="18">
        <f t="shared" si="2"/>
        <v>2347902.7128882613</v>
      </c>
    </row>
    <row r="38" spans="1:8" x14ac:dyDescent="0.15">
      <c r="A38">
        <v>31</v>
      </c>
      <c r="B38" s="18">
        <f t="shared" si="3"/>
        <v>21645.318718950399</v>
      </c>
      <c r="C38">
        <v>1.6</v>
      </c>
      <c r="D38" s="18">
        <f t="shared" si="0"/>
        <v>2199164.3818453606</v>
      </c>
      <c r="F38" s="18">
        <f t="shared" si="1"/>
        <v>23479.027128882615</v>
      </c>
      <c r="G38">
        <f>-0.71</f>
        <v>-0.71</v>
      </c>
      <c r="H38" s="18">
        <f t="shared" si="2"/>
        <v>2331232.6036267546</v>
      </c>
    </row>
    <row r="39" spans="1:8" x14ac:dyDescent="0.15">
      <c r="A39">
        <v>32</v>
      </c>
      <c r="F39" s="18">
        <f t="shared" si="1"/>
        <v>23312.326036267546</v>
      </c>
      <c r="G39">
        <f>-0.71</f>
        <v>-0.71</v>
      </c>
      <c r="H39" s="18">
        <f t="shared" si="2"/>
        <v>2314680.8521410045</v>
      </c>
    </row>
    <row r="40" spans="1:8" x14ac:dyDescent="0.15">
      <c r="A40">
        <v>33</v>
      </c>
      <c r="F40" s="18">
        <f t="shared" si="1"/>
        <v>23146.808521410047</v>
      </c>
      <c r="G40">
        <v>1.44</v>
      </c>
      <c r="H40" s="18">
        <f t="shared" si="2"/>
        <v>2348012.2564118351</v>
      </c>
    </row>
    <row r="41" spans="1:8" x14ac:dyDescent="0.15">
      <c r="A41">
        <v>34</v>
      </c>
      <c r="F41" s="18">
        <f t="shared" si="1"/>
        <v>23480.122564118352</v>
      </c>
      <c r="G41">
        <f>-0.71</f>
        <v>-0.71</v>
      </c>
      <c r="H41" s="18">
        <f t="shared" si="2"/>
        <v>2331341.369391311</v>
      </c>
    </row>
    <row r="42" spans="1:8" x14ac:dyDescent="0.15">
      <c r="A42">
        <v>35</v>
      </c>
      <c r="F42" s="18">
        <f t="shared" si="1"/>
        <v>23313.413693913109</v>
      </c>
      <c r="G42">
        <v>1.44</v>
      </c>
      <c r="H42" s="18">
        <f t="shared" si="2"/>
        <v>2364912.6851105457</v>
      </c>
    </row>
    <row r="43" spans="1:8" x14ac:dyDescent="0.15">
      <c r="A43">
        <v>36</v>
      </c>
      <c r="F43" s="18">
        <f t="shared" si="1"/>
        <v>23649.126851105459</v>
      </c>
      <c r="G43">
        <f>-0.71</f>
        <v>-0.71</v>
      </c>
      <c r="H43" s="18">
        <f t="shared" si="2"/>
        <v>2348121.8050462608</v>
      </c>
    </row>
    <row r="44" spans="1:8" x14ac:dyDescent="0.15">
      <c r="A44">
        <v>37</v>
      </c>
      <c r="F44" s="18">
        <f t="shared" si="1"/>
        <v>23481.218050462609</v>
      </c>
      <c r="G44">
        <v>1.44</v>
      </c>
      <c r="H44" s="18">
        <f t="shared" si="2"/>
        <v>2381934.759038927</v>
      </c>
    </row>
    <row r="45" spans="1:8" x14ac:dyDescent="0.15">
      <c r="A45">
        <v>38</v>
      </c>
      <c r="F45" s="18">
        <f t="shared" si="1"/>
        <v>23819.347590389272</v>
      </c>
      <c r="G45">
        <v>1.44</v>
      </c>
      <c r="H45" s="18">
        <f t="shared" si="2"/>
        <v>2416234.6195690874</v>
      </c>
    </row>
    <row r="46" spans="1:8" x14ac:dyDescent="0.15">
      <c r="A46">
        <v>39</v>
      </c>
      <c r="F46" s="18">
        <f t="shared" si="1"/>
        <v>24162.346195690876</v>
      </c>
      <c r="G46">
        <f>-0.71</f>
        <v>-0.71</v>
      </c>
      <c r="H46" s="18">
        <f t="shared" si="2"/>
        <v>2399079.3537701471</v>
      </c>
    </row>
    <row r="47" spans="1:8" x14ac:dyDescent="0.15">
      <c r="A47">
        <v>40</v>
      </c>
      <c r="F47" s="18">
        <f t="shared" si="1"/>
        <v>23990.793537701473</v>
      </c>
      <c r="G47">
        <v>1.44</v>
      </c>
      <c r="H47" s="18">
        <f t="shared" si="2"/>
        <v>2433626.0964644374</v>
      </c>
    </row>
    <row r="48" spans="1:8" x14ac:dyDescent="0.15">
      <c r="A48">
        <v>41</v>
      </c>
      <c r="F48" s="18">
        <f t="shared" si="1"/>
        <v>24336.260964644374</v>
      </c>
      <c r="G48">
        <v>1.44</v>
      </c>
      <c r="H48" s="18">
        <f t="shared" si="2"/>
        <v>2468670.3122535255</v>
      </c>
    </row>
    <row r="49" spans="1:8" x14ac:dyDescent="0.15">
      <c r="A49">
        <v>42</v>
      </c>
      <c r="F49" s="18">
        <f t="shared" si="1"/>
        <v>24686.703122535255</v>
      </c>
      <c r="G49">
        <f>-0.71</f>
        <v>-0.71</v>
      </c>
      <c r="H49" s="18">
        <f t="shared" si="2"/>
        <v>2451142.7530365256</v>
      </c>
    </row>
    <row r="50" spans="1:8" x14ac:dyDescent="0.15">
      <c r="A50">
        <v>43</v>
      </c>
      <c r="F50" s="18">
        <f t="shared" si="1"/>
        <v>24511.427530365258</v>
      </c>
      <c r="G50">
        <v>1.44</v>
      </c>
      <c r="H50" s="18">
        <f t="shared" si="2"/>
        <v>2486439.2086802516</v>
      </c>
    </row>
    <row r="51" spans="1:8" x14ac:dyDescent="0.15">
      <c r="A51">
        <v>44</v>
      </c>
      <c r="F51" s="18">
        <f t="shared" si="1"/>
        <v>24864.392086802516</v>
      </c>
      <c r="G51">
        <v>1.44</v>
      </c>
      <c r="H51" s="18">
        <f t="shared" si="2"/>
        <v>2522243.9332852471</v>
      </c>
    </row>
    <row r="52" spans="1:8" x14ac:dyDescent="0.15">
      <c r="A52">
        <v>45</v>
      </c>
      <c r="F52" s="18">
        <f t="shared" si="1"/>
        <v>25222.439332852471</v>
      </c>
      <c r="G52">
        <f>-0.71</f>
        <v>-0.71</v>
      </c>
      <c r="H52" s="18">
        <f t="shared" si="2"/>
        <v>2504336.0013589216</v>
      </c>
    </row>
    <row r="53" spans="1:8" x14ac:dyDescent="0.15">
      <c r="A53">
        <v>46</v>
      </c>
      <c r="F53" s="18">
        <f t="shared" si="1"/>
        <v>25043.360013589216</v>
      </c>
      <c r="G53">
        <f>-0.71</f>
        <v>-0.71</v>
      </c>
      <c r="H53" s="18">
        <f t="shared" si="2"/>
        <v>2486555.2157492731</v>
      </c>
    </row>
    <row r="54" spans="1:8" x14ac:dyDescent="0.15">
      <c r="A54">
        <v>47</v>
      </c>
      <c r="F54" s="18">
        <f t="shared" si="1"/>
        <v>24865.55215749273</v>
      </c>
      <c r="G54">
        <f>-0.71</f>
        <v>-0.71</v>
      </c>
      <c r="H54" s="18">
        <f t="shared" si="2"/>
        <v>2468900.6737174531</v>
      </c>
    </row>
    <row r="55" spans="1:8" x14ac:dyDescent="0.15">
      <c r="A55">
        <v>48</v>
      </c>
      <c r="F55" s="18">
        <f t="shared" si="1"/>
        <v>24689.006737174532</v>
      </c>
      <c r="G55">
        <v>1.44</v>
      </c>
      <c r="H55" s="18">
        <f t="shared" si="2"/>
        <v>2504452.8434189847</v>
      </c>
    </row>
    <row r="56" spans="1:8" x14ac:dyDescent="0.15">
      <c r="A56">
        <v>49</v>
      </c>
      <c r="F56" s="18">
        <f t="shared" si="1"/>
        <v>25044.528434189848</v>
      </c>
      <c r="G56">
        <v>1.44</v>
      </c>
      <c r="H56" s="18">
        <f t="shared" si="2"/>
        <v>2540516.9643642181</v>
      </c>
    </row>
    <row r="57" spans="1:8" x14ac:dyDescent="0.15">
      <c r="A57">
        <v>50</v>
      </c>
      <c r="F57" s="18">
        <f t="shared" si="1"/>
        <v>25405.169643642181</v>
      </c>
      <c r="G57">
        <f>-0.71</f>
        <v>-0.71</v>
      </c>
      <c r="H57" s="18">
        <f t="shared" si="2"/>
        <v>2522479.2939172322</v>
      </c>
    </row>
    <row r="58" spans="1:8" x14ac:dyDescent="0.15">
      <c r="A58">
        <v>51</v>
      </c>
      <c r="F58" s="18">
        <f t="shared" si="1"/>
        <v>25224.792939172323</v>
      </c>
      <c r="G58">
        <f>-0.71</f>
        <v>-0.71</v>
      </c>
      <c r="H58" s="18">
        <f t="shared" si="2"/>
        <v>2504569.6909304201</v>
      </c>
    </row>
    <row r="59" spans="1:8" x14ac:dyDescent="0.15">
      <c r="A59">
        <v>52</v>
      </c>
      <c r="F59" s="18">
        <f t="shared" si="1"/>
        <v>25045.696909304203</v>
      </c>
      <c r="G59">
        <v>1.44</v>
      </c>
      <c r="H59" s="18">
        <f t="shared" si="2"/>
        <v>2540635.4944798183</v>
      </c>
    </row>
    <row r="60" spans="1:8" x14ac:dyDescent="0.15">
      <c r="A60">
        <v>53</v>
      </c>
      <c r="F60" s="18">
        <f t="shared" si="1"/>
        <v>25406.354944798182</v>
      </c>
      <c r="G60">
        <v>1.44</v>
      </c>
      <c r="H60" s="18">
        <f t="shared" si="2"/>
        <v>2577220.6456003278</v>
      </c>
    </row>
    <row r="61" spans="1:8" x14ac:dyDescent="0.15">
      <c r="G61"/>
    </row>
    <row r="62" spans="1:8" x14ac:dyDescent="0.15">
      <c r="G62"/>
    </row>
    <row r="63" spans="1:8" x14ac:dyDescent="0.15">
      <c r="G63"/>
    </row>
    <row r="64" spans="1:8" x14ac:dyDescent="0.15">
      <c r="G64"/>
    </row>
    <row r="65" spans="7:7" x14ac:dyDescent="0.15">
      <c r="G65"/>
    </row>
    <row r="66" spans="7:7" x14ac:dyDescent="0.15">
      <c r="G66"/>
    </row>
    <row r="67" spans="7:7" x14ac:dyDescent="0.15">
      <c r="G67"/>
    </row>
    <row r="68" spans="7:7" x14ac:dyDescent="0.15">
      <c r="G68"/>
    </row>
    <row r="69" spans="7:7" x14ac:dyDescent="0.15">
      <c r="G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Lyons, John: Absa</cp:lastModifiedBy>
  <dcterms:created xsi:type="dcterms:W3CDTF">2025-07-10T16:04:59Z</dcterms:created>
  <dcterms:modified xsi:type="dcterms:W3CDTF">2025-07-20T08:26:31Z</dcterms:modified>
</cp:coreProperties>
</file>