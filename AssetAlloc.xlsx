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lyons/Documents/Personal/DataScience/R/JL CTS scripts/"/>
    </mc:Choice>
  </mc:AlternateContent>
  <xr:revisionPtr revIDLastSave="0" documentId="8_{92C49EC6-A7BD-7C42-8527-3B9B33DBD381}" xr6:coauthVersionLast="36" xr6:coauthVersionMax="36" xr10:uidLastSave="{00000000-0000-0000-0000-000000000000}"/>
  <bookViews>
    <workbookView xWindow="3480" yWindow="4260" windowWidth="25240" windowHeight="13740" xr2:uid="{C034E8BA-0390-4E4D-AE10-DF6BF7398F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3" i="1" l="1"/>
  <c r="D116" i="1"/>
  <c r="D103" i="1"/>
  <c r="D102" i="1"/>
  <c r="D101" i="1"/>
  <c r="D100" i="1"/>
  <c r="D98" i="1"/>
  <c r="D96" i="1"/>
  <c r="D95" i="1"/>
  <c r="D83" i="1"/>
  <c r="D75" i="1"/>
  <c r="D72" i="1"/>
  <c r="D69" i="1"/>
  <c r="D59" i="1"/>
  <c r="D58" i="1"/>
  <c r="D48" i="1"/>
  <c r="D40" i="1"/>
  <c r="D33" i="1"/>
</calcChain>
</file>

<file path=xl/sharedStrings.xml><?xml version="1.0" encoding="utf-8"?>
<sst xmlns="http://schemas.openxmlformats.org/spreadsheetml/2006/main" count="559" uniqueCount="44">
  <si>
    <t>Instrument</t>
  </si>
  <si>
    <t>Date</t>
  </si>
  <si>
    <t>Allocation</t>
  </si>
  <si>
    <t>Unit</t>
  </si>
  <si>
    <t>HoldingEntity</t>
  </si>
  <si>
    <t>Comment</t>
  </si>
  <si>
    <t>BTC</t>
  </si>
  <si>
    <t>Personal</t>
  </si>
  <si>
    <t>Binance</t>
  </si>
  <si>
    <t>Paxg</t>
  </si>
  <si>
    <t>Account</t>
  </si>
  <si>
    <t>MultiSig</t>
  </si>
  <si>
    <t>Investment</t>
  </si>
  <si>
    <t>Fly</t>
  </si>
  <si>
    <t>Kag</t>
  </si>
  <si>
    <t>Kinesis</t>
  </si>
  <si>
    <t>USDT</t>
  </si>
  <si>
    <t>Mexc</t>
  </si>
  <si>
    <t>Mnthly fundingfor July</t>
  </si>
  <si>
    <t>Moved from PAXG to BTC</t>
  </si>
  <si>
    <t>XRP</t>
  </si>
  <si>
    <t>Switch out PAXG to XRP</t>
  </si>
  <si>
    <t>TRX</t>
  </si>
  <si>
    <t>ALGO</t>
  </si>
  <si>
    <t>Trezor</t>
  </si>
  <si>
    <t>Income for Aug</t>
  </si>
  <si>
    <t>USDC</t>
  </si>
  <si>
    <t>Trezor 4</t>
  </si>
  <si>
    <t>Trezor10</t>
  </si>
  <si>
    <t>Trez10</t>
  </si>
  <si>
    <t>Eth</t>
  </si>
  <si>
    <t>Sol</t>
  </si>
  <si>
    <t>Backpack</t>
  </si>
  <si>
    <t>Tsla</t>
  </si>
  <si>
    <t>Adj</t>
  </si>
  <si>
    <t>Tao</t>
  </si>
  <si>
    <t>Talisman</t>
  </si>
  <si>
    <t>Tao Ridges</t>
  </si>
  <si>
    <t>Trezor 2</t>
  </si>
  <si>
    <t>Monthly Trf</t>
  </si>
  <si>
    <t>Funding Carmen</t>
  </si>
  <si>
    <t>Funding Carmen. Mv to revo</t>
  </si>
  <si>
    <t>Avax</t>
  </si>
  <si>
    <t>KAG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</si>
</sst>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15" fontId="0" fillId="0" borderId="0" xfId="0" applyNumberFormat="1"/>
    <xf numFmtId="0" fontId="0" fillId="0" borderId="0" xfId="0" applyFill="1"/>
    <xf numFmtId="15" fontId="0" fillId="0" borderId="0" xfId="0" applyNumberFormat="1" applyFill="1"/>
    <xf numFmtId="0" fontId="0" fillId="2" borderId="0" xfId="0" applyFill="1"/>
    <xf numFmtId="15" fontId="0" fillId="2" borderId="0" xfId="0" applyNumberFormat="1" applyFill="1"/>
    <xf numFmtId="0" fontId="2" fillId="3" borderId="0" xfId="0" applyFont="1" applyFill="1"/>
    <xf numFmtId="15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BDFC-42D2-7142-9280-508794FC3D01}">
  <dimension ref="A1:F181"/>
  <sheetViews>
    <sheetView tabSelected="1" workbookViewId="0">
      <selection sqref="A1:F1048576"/>
    </sheetView>
  </sheetViews>
  <sheetFormatPr baseColWidth="10" defaultRowHeight="16" x14ac:dyDescent="0.2"/>
  <cols>
    <col min="5" max="5" width="21.33203125" customWidth="1"/>
  </cols>
  <sheetData>
    <row r="1" spans="1: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s="2">
        <v>45819</v>
      </c>
      <c r="C2" t="s">
        <v>7</v>
      </c>
      <c r="D2">
        <v>5.4670000000000003E-2</v>
      </c>
      <c r="E2" t="s">
        <v>8</v>
      </c>
    </row>
    <row r="3" spans="1:6" x14ac:dyDescent="0.2">
      <c r="A3" t="s">
        <v>9</v>
      </c>
      <c r="B3" s="2">
        <v>45819</v>
      </c>
      <c r="C3" t="s">
        <v>10</v>
      </c>
      <c r="D3">
        <v>1.903</v>
      </c>
      <c r="E3" t="s">
        <v>11</v>
      </c>
    </row>
    <row r="4" spans="1:6" x14ac:dyDescent="0.2">
      <c r="A4" t="s">
        <v>9</v>
      </c>
      <c r="B4" s="2">
        <v>45819</v>
      </c>
      <c r="C4" t="s">
        <v>12</v>
      </c>
      <c r="D4">
        <v>35.86</v>
      </c>
      <c r="E4" t="s">
        <v>11</v>
      </c>
    </row>
    <row r="5" spans="1:6" x14ac:dyDescent="0.2">
      <c r="A5" t="s">
        <v>9</v>
      </c>
      <c r="B5" s="2">
        <v>45819</v>
      </c>
      <c r="C5" t="s">
        <v>13</v>
      </c>
      <c r="D5">
        <v>0.75700000000000001</v>
      </c>
      <c r="E5" t="s">
        <v>11</v>
      </c>
    </row>
    <row r="6" spans="1:6" x14ac:dyDescent="0.2">
      <c r="A6" t="s">
        <v>14</v>
      </c>
      <c r="B6" s="2">
        <v>45819</v>
      </c>
      <c r="C6" t="s">
        <v>12</v>
      </c>
      <c r="D6">
        <v>513.36</v>
      </c>
      <c r="E6" t="s">
        <v>15</v>
      </c>
    </row>
    <row r="7" spans="1:6" x14ac:dyDescent="0.2">
      <c r="A7" t="s">
        <v>16</v>
      </c>
      <c r="B7" s="2">
        <v>45819</v>
      </c>
      <c r="C7" t="s">
        <v>10</v>
      </c>
      <c r="D7">
        <v>4655</v>
      </c>
      <c r="E7" t="s">
        <v>17</v>
      </c>
    </row>
    <row r="8" spans="1:6" x14ac:dyDescent="0.2">
      <c r="A8" t="s">
        <v>16</v>
      </c>
      <c r="B8" s="2">
        <v>45819</v>
      </c>
      <c r="C8" t="s">
        <v>10</v>
      </c>
      <c r="D8">
        <v>82</v>
      </c>
      <c r="E8" t="s">
        <v>8</v>
      </c>
    </row>
    <row r="9" spans="1:6" x14ac:dyDescent="0.2">
      <c r="A9" t="s">
        <v>16</v>
      </c>
      <c r="B9" s="2">
        <v>45819</v>
      </c>
      <c r="C9" t="s">
        <v>12</v>
      </c>
      <c r="D9">
        <v>213</v>
      </c>
      <c r="E9" t="s">
        <v>8</v>
      </c>
    </row>
    <row r="10" spans="1:6" x14ac:dyDescent="0.2">
      <c r="A10" t="s">
        <v>16</v>
      </c>
      <c r="B10" s="2">
        <v>45819</v>
      </c>
      <c r="C10" t="s">
        <v>7</v>
      </c>
      <c r="D10">
        <v>6183</v>
      </c>
      <c r="E10" t="s">
        <v>8</v>
      </c>
    </row>
    <row r="11" spans="1:6" x14ac:dyDescent="0.2">
      <c r="A11" t="s">
        <v>6</v>
      </c>
      <c r="B11" s="2">
        <v>45832</v>
      </c>
      <c r="C11" t="s">
        <v>7</v>
      </c>
      <c r="D11">
        <v>-5.4670000000000003E-2</v>
      </c>
      <c r="E11" t="s">
        <v>8</v>
      </c>
    </row>
    <row r="12" spans="1:6" x14ac:dyDescent="0.2">
      <c r="A12" t="s">
        <v>16</v>
      </c>
      <c r="B12" s="2">
        <v>45832</v>
      </c>
      <c r="C12" t="s">
        <v>7</v>
      </c>
      <c r="D12">
        <v>5741</v>
      </c>
      <c r="E12" t="s">
        <v>8</v>
      </c>
    </row>
    <row r="13" spans="1:6" x14ac:dyDescent="0.2">
      <c r="A13" t="s">
        <v>9</v>
      </c>
      <c r="B13" s="2">
        <v>45834</v>
      </c>
      <c r="C13" t="s">
        <v>12</v>
      </c>
      <c r="D13">
        <v>-10</v>
      </c>
      <c r="E13" t="s">
        <v>11</v>
      </c>
    </row>
    <row r="14" spans="1:6" x14ac:dyDescent="0.2">
      <c r="A14" t="s">
        <v>14</v>
      </c>
      <c r="B14" s="2">
        <v>45834</v>
      </c>
      <c r="C14" t="s">
        <v>12</v>
      </c>
      <c r="D14">
        <v>905.73</v>
      </c>
      <c r="E14" t="s">
        <v>15</v>
      </c>
    </row>
    <row r="15" spans="1:6" x14ac:dyDescent="0.2">
      <c r="A15" t="s">
        <v>16</v>
      </c>
      <c r="B15" s="2">
        <v>45840</v>
      </c>
      <c r="C15" t="s">
        <v>7</v>
      </c>
      <c r="D15">
        <v>-4000</v>
      </c>
      <c r="E15" t="s">
        <v>8</v>
      </c>
      <c r="F15" t="s">
        <v>18</v>
      </c>
    </row>
    <row r="16" spans="1:6" x14ac:dyDescent="0.2">
      <c r="A16" t="s">
        <v>9</v>
      </c>
      <c r="B16" s="2">
        <v>45844</v>
      </c>
      <c r="C16" t="s">
        <v>12</v>
      </c>
      <c r="D16">
        <v>-6.58</v>
      </c>
      <c r="E16" t="s">
        <v>11</v>
      </c>
    </row>
    <row r="17" spans="1:6" x14ac:dyDescent="0.2">
      <c r="A17" t="s">
        <v>6</v>
      </c>
      <c r="B17" s="2">
        <v>45844</v>
      </c>
      <c r="C17" t="s">
        <v>12</v>
      </c>
      <c r="D17">
        <v>0.20372999999999999</v>
      </c>
      <c r="E17" t="s">
        <v>8</v>
      </c>
      <c r="F17" t="s">
        <v>19</v>
      </c>
    </row>
    <row r="18" spans="1:6" x14ac:dyDescent="0.2">
      <c r="A18" t="s">
        <v>9</v>
      </c>
      <c r="B18" s="2">
        <v>45848</v>
      </c>
      <c r="C18" t="s">
        <v>12</v>
      </c>
      <c r="D18">
        <v>-5</v>
      </c>
      <c r="E18" t="s">
        <v>11</v>
      </c>
    </row>
    <row r="19" spans="1:6" x14ac:dyDescent="0.2">
      <c r="A19" t="s">
        <v>6</v>
      </c>
      <c r="B19" s="2">
        <v>45848</v>
      </c>
      <c r="C19" t="s">
        <v>12</v>
      </c>
      <c r="D19">
        <v>0.14499999999999999</v>
      </c>
      <c r="E19" t="s">
        <v>8</v>
      </c>
    </row>
    <row r="20" spans="1:6" x14ac:dyDescent="0.2">
      <c r="A20" s="3" t="s">
        <v>16</v>
      </c>
      <c r="B20" s="4">
        <v>45848</v>
      </c>
      <c r="C20" s="3" t="s">
        <v>7</v>
      </c>
      <c r="D20" s="3">
        <v>-7924</v>
      </c>
      <c r="E20" s="3" t="s">
        <v>8</v>
      </c>
    </row>
    <row r="21" spans="1:6" x14ac:dyDescent="0.2">
      <c r="A21" t="s">
        <v>20</v>
      </c>
      <c r="B21" s="4">
        <v>45848</v>
      </c>
      <c r="C21" s="3" t="s">
        <v>7</v>
      </c>
      <c r="D21" s="3">
        <v>3288</v>
      </c>
      <c r="E21" s="3" t="s">
        <v>8</v>
      </c>
    </row>
    <row r="22" spans="1:6" x14ac:dyDescent="0.2">
      <c r="A22" t="s">
        <v>16</v>
      </c>
      <c r="B22" s="2">
        <v>45851</v>
      </c>
      <c r="C22" t="s">
        <v>10</v>
      </c>
      <c r="D22">
        <v>-4655</v>
      </c>
      <c r="E22" t="s">
        <v>17</v>
      </c>
    </row>
    <row r="23" spans="1:6" x14ac:dyDescent="0.2">
      <c r="A23" t="s">
        <v>20</v>
      </c>
      <c r="B23" s="2">
        <v>45851</v>
      </c>
      <c r="C23" t="s">
        <v>10</v>
      </c>
      <c r="D23">
        <v>1679</v>
      </c>
      <c r="E23" t="s">
        <v>17</v>
      </c>
    </row>
    <row r="24" spans="1:6" x14ac:dyDescent="0.2">
      <c r="A24" t="s">
        <v>9</v>
      </c>
      <c r="B24" s="2">
        <v>45854</v>
      </c>
      <c r="C24" t="s">
        <v>12</v>
      </c>
      <c r="D24">
        <v>-3.9</v>
      </c>
      <c r="E24" t="s">
        <v>11</v>
      </c>
      <c r="F24" t="s">
        <v>21</v>
      </c>
    </row>
    <row r="25" spans="1:6" x14ac:dyDescent="0.2">
      <c r="A25" t="s">
        <v>20</v>
      </c>
      <c r="B25" s="2">
        <v>45854</v>
      </c>
      <c r="C25" t="s">
        <v>12</v>
      </c>
      <c r="D25">
        <v>4424</v>
      </c>
      <c r="E25" t="s">
        <v>8</v>
      </c>
      <c r="F25" t="s">
        <v>21</v>
      </c>
    </row>
    <row r="26" spans="1:6" x14ac:dyDescent="0.2">
      <c r="A26" t="s">
        <v>20</v>
      </c>
      <c r="B26" s="2">
        <v>45851</v>
      </c>
      <c r="C26" t="s">
        <v>10</v>
      </c>
      <c r="D26">
        <v>-1679</v>
      </c>
      <c r="E26" t="s">
        <v>17</v>
      </c>
    </row>
    <row r="27" spans="1:6" x14ac:dyDescent="0.2">
      <c r="A27" t="s">
        <v>22</v>
      </c>
      <c r="B27" s="2">
        <v>45856</v>
      </c>
      <c r="C27" t="s">
        <v>10</v>
      </c>
      <c r="D27">
        <v>16789</v>
      </c>
      <c r="E27" t="s">
        <v>17</v>
      </c>
    </row>
    <row r="28" spans="1:6" x14ac:dyDescent="0.2">
      <c r="A28" t="s">
        <v>20</v>
      </c>
      <c r="B28" s="4">
        <v>45848</v>
      </c>
      <c r="C28" s="3" t="s">
        <v>7</v>
      </c>
      <c r="D28" s="3">
        <v>-3288</v>
      </c>
      <c r="E28" s="3" t="s">
        <v>8</v>
      </c>
    </row>
    <row r="29" spans="1:6" x14ac:dyDescent="0.2">
      <c r="A29" t="s">
        <v>16</v>
      </c>
      <c r="B29" s="2">
        <v>45855</v>
      </c>
      <c r="C29" s="3" t="s">
        <v>7</v>
      </c>
      <c r="D29" s="3">
        <v>10873</v>
      </c>
      <c r="E29" s="3" t="s">
        <v>8</v>
      </c>
    </row>
    <row r="30" spans="1:6" x14ac:dyDescent="0.2">
      <c r="A30" t="s">
        <v>20</v>
      </c>
      <c r="B30" s="2">
        <v>45854</v>
      </c>
      <c r="C30" t="s">
        <v>12</v>
      </c>
      <c r="D30">
        <v>-4424</v>
      </c>
      <c r="E30" t="s">
        <v>8</v>
      </c>
    </row>
    <row r="31" spans="1:6" x14ac:dyDescent="0.2">
      <c r="A31" t="s">
        <v>16</v>
      </c>
      <c r="B31" s="2">
        <v>45855</v>
      </c>
      <c r="C31" t="s">
        <v>12</v>
      </c>
      <c r="D31">
        <v>15015</v>
      </c>
      <c r="E31" t="s">
        <v>8</v>
      </c>
    </row>
    <row r="32" spans="1:6" x14ac:dyDescent="0.2">
      <c r="A32" t="s">
        <v>16</v>
      </c>
      <c r="B32" s="2">
        <v>45856</v>
      </c>
      <c r="C32" t="s">
        <v>12</v>
      </c>
      <c r="D32">
        <v>-15015</v>
      </c>
      <c r="E32" t="s">
        <v>8</v>
      </c>
    </row>
    <row r="33" spans="1:6" x14ac:dyDescent="0.2">
      <c r="A33" t="s">
        <v>6</v>
      </c>
      <c r="B33" s="2">
        <v>45856</v>
      </c>
      <c r="C33" t="s">
        <v>12</v>
      </c>
      <c r="D33">
        <f>0.12472-0.00048</f>
        <v>0.12424</v>
      </c>
      <c r="E33" t="s">
        <v>8</v>
      </c>
    </row>
    <row r="34" spans="1:6" x14ac:dyDescent="0.2">
      <c r="A34" t="s">
        <v>6</v>
      </c>
      <c r="B34" s="2">
        <v>45856</v>
      </c>
      <c r="C34" t="s">
        <v>12</v>
      </c>
      <c r="D34">
        <v>-0.34838000000000002</v>
      </c>
      <c r="E34" t="s">
        <v>8</v>
      </c>
    </row>
    <row r="35" spans="1:6" x14ac:dyDescent="0.2">
      <c r="A35" t="s">
        <v>16</v>
      </c>
      <c r="B35" s="2">
        <v>45856</v>
      </c>
      <c r="C35" t="s">
        <v>12</v>
      </c>
      <c r="D35">
        <v>40855</v>
      </c>
      <c r="E35" t="s">
        <v>8</v>
      </c>
    </row>
    <row r="36" spans="1:6" x14ac:dyDescent="0.2">
      <c r="A36" s="3" t="s">
        <v>16</v>
      </c>
      <c r="B36" s="4">
        <v>45858</v>
      </c>
      <c r="C36" s="3" t="s">
        <v>12</v>
      </c>
      <c r="D36" s="3">
        <v>-20000</v>
      </c>
      <c r="E36" s="3" t="s">
        <v>8</v>
      </c>
      <c r="F36" s="3"/>
    </row>
    <row r="37" spans="1:6" x14ac:dyDescent="0.2">
      <c r="A37" s="3" t="s">
        <v>20</v>
      </c>
      <c r="B37" s="4">
        <v>45858</v>
      </c>
      <c r="C37" s="3" t="s">
        <v>12</v>
      </c>
      <c r="D37" s="3">
        <v>5698</v>
      </c>
      <c r="E37" s="3" t="s">
        <v>8</v>
      </c>
      <c r="F37" s="3"/>
    </row>
    <row r="38" spans="1:6" x14ac:dyDescent="0.2">
      <c r="A38" s="3" t="s">
        <v>16</v>
      </c>
      <c r="B38" s="4">
        <v>45859</v>
      </c>
      <c r="C38" s="3" t="s">
        <v>12</v>
      </c>
      <c r="D38" s="3">
        <v>-21068</v>
      </c>
      <c r="E38" s="3" t="s">
        <v>8</v>
      </c>
      <c r="F38" s="3"/>
    </row>
    <row r="39" spans="1:6" x14ac:dyDescent="0.2">
      <c r="A39" s="3" t="s">
        <v>16</v>
      </c>
      <c r="B39" s="4">
        <v>45859</v>
      </c>
      <c r="C39" s="3" t="s">
        <v>7</v>
      </c>
      <c r="D39" s="3">
        <v>-10873</v>
      </c>
      <c r="E39" s="3" t="s">
        <v>8</v>
      </c>
      <c r="F39" s="3"/>
    </row>
    <row r="40" spans="1:6" x14ac:dyDescent="0.2">
      <c r="A40" s="3" t="s">
        <v>20</v>
      </c>
      <c r="B40" s="4">
        <v>45859</v>
      </c>
      <c r="C40" s="3" t="s">
        <v>7</v>
      </c>
      <c r="D40" s="3">
        <f>3128</f>
        <v>3128</v>
      </c>
      <c r="E40" s="3" t="s">
        <v>8</v>
      </c>
      <c r="F40" s="3"/>
    </row>
    <row r="41" spans="1:6" x14ac:dyDescent="0.2">
      <c r="A41" s="3" t="s">
        <v>20</v>
      </c>
      <c r="B41" s="4">
        <v>45859</v>
      </c>
      <c r="C41" s="3" t="s">
        <v>12</v>
      </c>
      <c r="D41" s="3">
        <v>6000</v>
      </c>
      <c r="E41" s="3" t="s">
        <v>15</v>
      </c>
      <c r="F41" s="3"/>
    </row>
    <row r="42" spans="1:6" x14ac:dyDescent="0.2">
      <c r="A42" s="3" t="s">
        <v>22</v>
      </c>
      <c r="B42" s="4">
        <v>45859</v>
      </c>
      <c r="C42" s="3" t="s">
        <v>10</v>
      </c>
      <c r="D42" s="3">
        <v>-16789</v>
      </c>
      <c r="E42" s="3" t="s">
        <v>17</v>
      </c>
      <c r="F42" s="3"/>
    </row>
    <row r="43" spans="1:6" x14ac:dyDescent="0.2">
      <c r="A43" s="3" t="s">
        <v>23</v>
      </c>
      <c r="B43" s="4">
        <v>45859</v>
      </c>
      <c r="C43" s="3" t="s">
        <v>10</v>
      </c>
      <c r="D43" s="3">
        <v>17304</v>
      </c>
      <c r="E43" s="3" t="s">
        <v>17</v>
      </c>
      <c r="F43" s="3"/>
    </row>
    <row r="44" spans="1:6" x14ac:dyDescent="0.2">
      <c r="A44" s="3" t="s">
        <v>23</v>
      </c>
      <c r="B44" s="4">
        <v>45859</v>
      </c>
      <c r="C44" s="3" t="s">
        <v>10</v>
      </c>
      <c r="D44" s="3">
        <v>-17304</v>
      </c>
      <c r="E44" s="3" t="s">
        <v>17</v>
      </c>
      <c r="F44" s="3"/>
    </row>
    <row r="45" spans="1:6" x14ac:dyDescent="0.2">
      <c r="A45" s="3" t="s">
        <v>16</v>
      </c>
      <c r="B45" s="4">
        <v>45860</v>
      </c>
      <c r="C45" s="3" t="s">
        <v>10</v>
      </c>
      <c r="D45" s="3">
        <v>4975</v>
      </c>
      <c r="E45" s="3" t="s">
        <v>17</v>
      </c>
      <c r="F45" s="3"/>
    </row>
    <row r="46" spans="1:6" x14ac:dyDescent="0.2">
      <c r="A46" s="3" t="s">
        <v>20</v>
      </c>
      <c r="B46" s="4">
        <v>45861</v>
      </c>
      <c r="C46" s="3" t="s">
        <v>12</v>
      </c>
      <c r="D46" s="3">
        <v>-5698</v>
      </c>
      <c r="E46" s="3" t="s">
        <v>8</v>
      </c>
      <c r="F46" s="3"/>
    </row>
    <row r="47" spans="1:6" x14ac:dyDescent="0.2">
      <c r="A47" s="3" t="s">
        <v>16</v>
      </c>
      <c r="B47" s="4">
        <v>45861</v>
      </c>
      <c r="C47" s="3" t="s">
        <v>12</v>
      </c>
      <c r="D47" s="3">
        <v>18927</v>
      </c>
      <c r="E47" s="3" t="s">
        <v>11</v>
      </c>
      <c r="F47" s="3"/>
    </row>
    <row r="48" spans="1:6" x14ac:dyDescent="0.2">
      <c r="A48" s="3" t="s">
        <v>20</v>
      </c>
      <c r="B48" s="4">
        <v>45861</v>
      </c>
      <c r="C48" s="3" t="s">
        <v>7</v>
      </c>
      <c r="D48" s="3">
        <f>-3128</f>
        <v>-3128</v>
      </c>
      <c r="E48" s="3" t="s">
        <v>8</v>
      </c>
      <c r="F48" s="3"/>
    </row>
    <row r="49" spans="1:6" x14ac:dyDescent="0.2">
      <c r="A49" s="3" t="s">
        <v>16</v>
      </c>
      <c r="B49" s="4">
        <v>45861</v>
      </c>
      <c r="C49" s="3" t="s">
        <v>7</v>
      </c>
      <c r="D49" s="3">
        <v>10418</v>
      </c>
      <c r="E49" s="3" t="s">
        <v>11</v>
      </c>
      <c r="F49" s="3"/>
    </row>
    <row r="50" spans="1:6" x14ac:dyDescent="0.2">
      <c r="A50" s="3" t="s">
        <v>6</v>
      </c>
      <c r="B50" s="4">
        <v>45861</v>
      </c>
      <c r="C50" s="3" t="s">
        <v>12</v>
      </c>
      <c r="D50" s="3">
        <v>-0.12459000000000001</v>
      </c>
      <c r="E50" s="3" t="s">
        <v>8</v>
      </c>
      <c r="F50" s="3"/>
    </row>
    <row r="51" spans="1:6" x14ac:dyDescent="0.2">
      <c r="A51" s="3" t="s">
        <v>6</v>
      </c>
      <c r="B51" s="4">
        <v>45861</v>
      </c>
      <c r="C51" s="3" t="s">
        <v>12</v>
      </c>
      <c r="D51" s="3">
        <v>0.12459000000000001</v>
      </c>
      <c r="E51" s="3" t="s">
        <v>24</v>
      </c>
    </row>
    <row r="52" spans="1:6" x14ac:dyDescent="0.2">
      <c r="A52" s="3" t="s">
        <v>20</v>
      </c>
      <c r="B52" s="4">
        <v>45863</v>
      </c>
      <c r="C52" s="3" t="s">
        <v>12</v>
      </c>
      <c r="D52" s="3">
        <v>-6000</v>
      </c>
      <c r="E52" s="3" t="s">
        <v>15</v>
      </c>
    </row>
    <row r="53" spans="1:6" x14ac:dyDescent="0.2">
      <c r="A53" s="3" t="s">
        <v>20</v>
      </c>
      <c r="B53" s="4">
        <v>45863</v>
      </c>
      <c r="C53" s="3" t="s">
        <v>12</v>
      </c>
      <c r="D53" s="3">
        <v>6000</v>
      </c>
      <c r="E53" s="3" t="s">
        <v>24</v>
      </c>
    </row>
    <row r="54" spans="1:6" x14ac:dyDescent="0.2">
      <c r="A54" s="3" t="s">
        <v>6</v>
      </c>
      <c r="B54" s="4">
        <v>45863</v>
      </c>
      <c r="C54" s="3" t="s">
        <v>12</v>
      </c>
      <c r="D54" s="3">
        <v>0.12459000000000001</v>
      </c>
      <c r="E54" s="3" t="s">
        <v>8</v>
      </c>
    </row>
    <row r="55" spans="1:6" x14ac:dyDescent="0.2">
      <c r="A55" s="3" t="s">
        <v>6</v>
      </c>
      <c r="B55" s="4">
        <v>45863</v>
      </c>
      <c r="C55" s="3" t="s">
        <v>12</v>
      </c>
      <c r="D55" s="3">
        <v>-0.12459000000000001</v>
      </c>
      <c r="E55" s="3" t="s">
        <v>24</v>
      </c>
    </row>
    <row r="56" spans="1:6" x14ac:dyDescent="0.2">
      <c r="A56" s="3" t="s">
        <v>6</v>
      </c>
      <c r="B56" s="4">
        <v>45863</v>
      </c>
      <c r="C56" s="3" t="s">
        <v>12</v>
      </c>
      <c r="D56" s="3">
        <v>-0.12459000000000001</v>
      </c>
      <c r="E56" s="3" t="s">
        <v>8</v>
      </c>
    </row>
    <row r="57" spans="1:6" x14ac:dyDescent="0.2">
      <c r="A57" s="3" t="s">
        <v>16</v>
      </c>
      <c r="B57" s="4">
        <v>45863</v>
      </c>
      <c r="C57" s="3" t="s">
        <v>12</v>
      </c>
      <c r="D57" s="3">
        <v>14367</v>
      </c>
      <c r="E57" s="3" t="s">
        <v>8</v>
      </c>
    </row>
    <row r="58" spans="1:6" x14ac:dyDescent="0.2">
      <c r="A58" s="3" t="s">
        <v>16</v>
      </c>
      <c r="B58" s="4">
        <v>45867</v>
      </c>
      <c r="C58" s="3" t="s">
        <v>12</v>
      </c>
      <c r="D58" s="3">
        <f>-20010+1083</f>
        <v>-18927</v>
      </c>
      <c r="E58" s="3" t="s">
        <v>11</v>
      </c>
    </row>
    <row r="59" spans="1:6" x14ac:dyDescent="0.2">
      <c r="A59" s="3" t="s">
        <v>16</v>
      </c>
      <c r="B59" s="4">
        <v>45867</v>
      </c>
      <c r="C59" s="3" t="s">
        <v>7</v>
      </c>
      <c r="D59" s="3">
        <f>-1083+453</f>
        <v>-630</v>
      </c>
      <c r="E59" s="3" t="s">
        <v>11</v>
      </c>
    </row>
    <row r="60" spans="1:6" x14ac:dyDescent="0.2">
      <c r="A60" s="3" t="s">
        <v>16</v>
      </c>
      <c r="B60" s="4">
        <v>45867</v>
      </c>
      <c r="C60" s="3" t="s">
        <v>12</v>
      </c>
      <c r="D60" s="3">
        <v>18927</v>
      </c>
      <c r="E60" s="3" t="s">
        <v>8</v>
      </c>
    </row>
    <row r="61" spans="1:6" x14ac:dyDescent="0.2">
      <c r="A61" s="3" t="s">
        <v>16</v>
      </c>
      <c r="B61" s="4">
        <v>45867</v>
      </c>
      <c r="C61" s="3" t="s">
        <v>7</v>
      </c>
      <c r="D61" s="3">
        <v>630</v>
      </c>
      <c r="E61" s="3" t="s">
        <v>8</v>
      </c>
    </row>
    <row r="62" spans="1:6" x14ac:dyDescent="0.2">
      <c r="A62" s="3" t="s">
        <v>9</v>
      </c>
      <c r="B62" s="4">
        <v>45870</v>
      </c>
      <c r="C62" s="3" t="s">
        <v>12</v>
      </c>
      <c r="D62" s="3">
        <v>-1.1659999999999999</v>
      </c>
      <c r="E62" s="3" t="s">
        <v>11</v>
      </c>
      <c r="F62" t="s">
        <v>25</v>
      </c>
    </row>
    <row r="63" spans="1:6" x14ac:dyDescent="0.2">
      <c r="A63" t="s">
        <v>9</v>
      </c>
      <c r="B63" s="2">
        <v>45870</v>
      </c>
      <c r="C63" t="s">
        <v>10</v>
      </c>
      <c r="D63">
        <v>1.1659999999999999</v>
      </c>
      <c r="E63" t="s">
        <v>11</v>
      </c>
      <c r="F63" t="s">
        <v>25</v>
      </c>
    </row>
    <row r="64" spans="1:6" x14ac:dyDescent="0.2">
      <c r="A64" s="3" t="s">
        <v>20</v>
      </c>
      <c r="B64" s="4">
        <v>45873</v>
      </c>
      <c r="C64" s="3" t="s">
        <v>12</v>
      </c>
      <c r="D64" s="3">
        <v>-6000</v>
      </c>
      <c r="E64" s="3" t="s">
        <v>24</v>
      </c>
    </row>
    <row r="65" spans="1:6" x14ac:dyDescent="0.2">
      <c r="A65" s="3" t="s">
        <v>16</v>
      </c>
      <c r="B65" s="4">
        <v>45873</v>
      </c>
      <c r="C65" s="3" t="s">
        <v>12</v>
      </c>
      <c r="D65" s="3">
        <v>17965</v>
      </c>
      <c r="E65" s="3" t="s">
        <v>8</v>
      </c>
    </row>
    <row r="66" spans="1:6" x14ac:dyDescent="0.2">
      <c r="A66" s="3" t="s">
        <v>26</v>
      </c>
      <c r="B66" s="4">
        <v>45873</v>
      </c>
      <c r="C66" s="3" t="s">
        <v>7</v>
      </c>
      <c r="D66" s="3">
        <v>11594</v>
      </c>
      <c r="E66" s="3" t="s">
        <v>27</v>
      </c>
      <c r="F66" s="3"/>
    </row>
    <row r="67" spans="1:6" x14ac:dyDescent="0.2">
      <c r="A67" s="3" t="s">
        <v>26</v>
      </c>
      <c r="B67" s="4">
        <v>45873</v>
      </c>
      <c r="C67" s="3" t="s">
        <v>7</v>
      </c>
      <c r="D67" s="3">
        <v>1996</v>
      </c>
      <c r="E67" s="3" t="s">
        <v>28</v>
      </c>
      <c r="F67" s="3" t="s">
        <v>29</v>
      </c>
    </row>
    <row r="68" spans="1:6" x14ac:dyDescent="0.2">
      <c r="A68" s="3" t="s">
        <v>16</v>
      </c>
      <c r="B68" s="4">
        <v>45873</v>
      </c>
      <c r="C68" s="3" t="s">
        <v>12</v>
      </c>
      <c r="D68" s="3">
        <v>-26700</v>
      </c>
      <c r="E68" s="3" t="s">
        <v>8</v>
      </c>
    </row>
    <row r="69" spans="1:6" x14ac:dyDescent="0.2">
      <c r="A69" s="3" t="s">
        <v>9</v>
      </c>
      <c r="B69" s="4">
        <v>45873</v>
      </c>
      <c r="C69" s="3" t="s">
        <v>12</v>
      </c>
      <c r="D69" s="3">
        <f>7.9134-0.01403</f>
        <v>7.8993700000000002</v>
      </c>
      <c r="E69" s="3" t="s">
        <v>11</v>
      </c>
    </row>
    <row r="70" spans="1:6" x14ac:dyDescent="0.2">
      <c r="A70" s="3" t="s">
        <v>16</v>
      </c>
      <c r="B70" s="4">
        <v>45874</v>
      </c>
      <c r="C70" s="3" t="s">
        <v>12</v>
      </c>
      <c r="D70" s="3">
        <v>-19489</v>
      </c>
      <c r="E70" s="3" t="s">
        <v>8</v>
      </c>
    </row>
    <row r="71" spans="1:6" x14ac:dyDescent="0.2">
      <c r="A71" s="3" t="s">
        <v>9</v>
      </c>
      <c r="B71" s="4">
        <v>45874</v>
      </c>
      <c r="C71" s="3" t="s">
        <v>12</v>
      </c>
      <c r="D71" s="3">
        <v>5.7767999999999997</v>
      </c>
      <c r="E71" s="3" t="s">
        <v>11</v>
      </c>
    </row>
    <row r="72" spans="1:6" x14ac:dyDescent="0.2">
      <c r="A72" s="3" t="s">
        <v>16</v>
      </c>
      <c r="B72" s="2">
        <v>45878</v>
      </c>
      <c r="C72" s="3" t="s">
        <v>7</v>
      </c>
      <c r="D72">
        <f>-630</f>
        <v>-630</v>
      </c>
      <c r="E72" s="3" t="s">
        <v>8</v>
      </c>
    </row>
    <row r="73" spans="1:6" x14ac:dyDescent="0.2">
      <c r="A73" s="3" t="s">
        <v>30</v>
      </c>
      <c r="B73" s="2">
        <v>45878</v>
      </c>
      <c r="C73" s="3" t="s">
        <v>7</v>
      </c>
      <c r="D73">
        <v>0.16</v>
      </c>
      <c r="E73" s="3" t="s">
        <v>8</v>
      </c>
    </row>
    <row r="74" spans="1:6" x14ac:dyDescent="0.2">
      <c r="A74" s="3" t="s">
        <v>16</v>
      </c>
      <c r="B74" s="2">
        <v>45878</v>
      </c>
      <c r="C74" s="3" t="s">
        <v>12</v>
      </c>
      <c r="D74">
        <v>-5070</v>
      </c>
      <c r="E74" s="3" t="s">
        <v>8</v>
      </c>
    </row>
    <row r="75" spans="1:6" x14ac:dyDescent="0.2">
      <c r="A75" s="3" t="s">
        <v>30</v>
      </c>
      <c r="B75" s="2">
        <v>45878</v>
      </c>
      <c r="C75" s="3" t="s">
        <v>12</v>
      </c>
      <c r="D75">
        <f>1.4565-0.16</f>
        <v>1.2965</v>
      </c>
      <c r="E75" s="3" t="s">
        <v>8</v>
      </c>
    </row>
    <row r="76" spans="1:6" x14ac:dyDescent="0.2">
      <c r="A76" s="3" t="s">
        <v>16</v>
      </c>
      <c r="B76" s="2">
        <v>45878</v>
      </c>
      <c r="C76" s="3" t="s">
        <v>10</v>
      </c>
      <c r="D76">
        <v>-4975</v>
      </c>
      <c r="E76" s="3" t="s">
        <v>17</v>
      </c>
    </row>
    <row r="77" spans="1:6" x14ac:dyDescent="0.2">
      <c r="A77" s="3" t="s">
        <v>30</v>
      </c>
      <c r="B77" s="2">
        <v>45878</v>
      </c>
      <c r="C77" s="3" t="s">
        <v>10</v>
      </c>
      <c r="D77">
        <v>1.17</v>
      </c>
      <c r="E77" s="3" t="s">
        <v>17</v>
      </c>
    </row>
    <row r="78" spans="1:6" x14ac:dyDescent="0.2">
      <c r="A78" s="3" t="s">
        <v>26</v>
      </c>
      <c r="B78" s="4">
        <v>45879</v>
      </c>
      <c r="C78" s="3" t="s">
        <v>7</v>
      </c>
      <c r="D78" s="3">
        <v>-11594</v>
      </c>
      <c r="E78" s="3" t="s">
        <v>27</v>
      </c>
    </row>
    <row r="79" spans="1:6" x14ac:dyDescent="0.2">
      <c r="A79" s="3" t="s">
        <v>30</v>
      </c>
      <c r="B79" s="4">
        <v>45879</v>
      </c>
      <c r="C79" s="3" t="s">
        <v>7</v>
      </c>
      <c r="D79" s="3">
        <v>2.79</v>
      </c>
      <c r="E79" s="3" t="s">
        <v>27</v>
      </c>
      <c r="F79" s="3"/>
    </row>
    <row r="80" spans="1:6" x14ac:dyDescent="0.2">
      <c r="A80" s="3" t="s">
        <v>9</v>
      </c>
      <c r="B80" s="4">
        <v>45879</v>
      </c>
      <c r="C80" s="3" t="s">
        <v>12</v>
      </c>
      <c r="D80" s="3">
        <v>-4</v>
      </c>
      <c r="E80" s="3" t="s">
        <v>11</v>
      </c>
      <c r="F80" s="3"/>
    </row>
    <row r="81" spans="1:6" x14ac:dyDescent="0.2">
      <c r="A81" s="3" t="s">
        <v>9</v>
      </c>
      <c r="B81" s="4">
        <v>45879</v>
      </c>
      <c r="C81" s="3" t="s">
        <v>12</v>
      </c>
      <c r="D81" s="3">
        <v>4</v>
      </c>
      <c r="E81" s="3" t="s">
        <v>8</v>
      </c>
      <c r="F81" s="3"/>
    </row>
    <row r="82" spans="1:6" x14ac:dyDescent="0.2">
      <c r="A82" s="3" t="s">
        <v>9</v>
      </c>
      <c r="B82" s="4">
        <v>45879</v>
      </c>
      <c r="C82" s="3" t="s">
        <v>12</v>
      </c>
      <c r="D82" s="3">
        <v>-4</v>
      </c>
      <c r="E82" s="3" t="s">
        <v>8</v>
      </c>
      <c r="F82" s="3"/>
    </row>
    <row r="83" spans="1:6" x14ac:dyDescent="0.2">
      <c r="A83" s="3" t="s">
        <v>30</v>
      </c>
      <c r="B83" s="4">
        <v>45879</v>
      </c>
      <c r="C83" s="3" t="s">
        <v>12</v>
      </c>
      <c r="D83" s="3">
        <f>3.2126-0.005</f>
        <v>3.2076000000000002</v>
      </c>
      <c r="E83" s="3" t="s">
        <v>8</v>
      </c>
      <c r="F83" s="3"/>
    </row>
    <row r="84" spans="1:6" x14ac:dyDescent="0.2">
      <c r="A84" s="3" t="s">
        <v>9</v>
      </c>
      <c r="B84" s="4">
        <v>45884</v>
      </c>
      <c r="C84" s="3" t="s">
        <v>12</v>
      </c>
      <c r="D84" s="3">
        <v>-9</v>
      </c>
      <c r="E84" s="3" t="s">
        <v>11</v>
      </c>
      <c r="F84" s="3"/>
    </row>
    <row r="85" spans="1:6" x14ac:dyDescent="0.2">
      <c r="A85" s="3" t="s">
        <v>9</v>
      </c>
      <c r="B85" s="4">
        <v>45884</v>
      </c>
      <c r="C85" s="3" t="s">
        <v>12</v>
      </c>
      <c r="D85" s="3">
        <v>9</v>
      </c>
      <c r="E85" s="3" t="s">
        <v>8</v>
      </c>
      <c r="F85" s="3"/>
    </row>
    <row r="86" spans="1:6" x14ac:dyDescent="0.2">
      <c r="A86" s="3" t="s">
        <v>30</v>
      </c>
      <c r="B86" s="4">
        <v>45881</v>
      </c>
      <c r="C86" s="3" t="s">
        <v>12</v>
      </c>
      <c r="D86" s="3">
        <v>3.0139999999999998</v>
      </c>
      <c r="E86" s="3" t="s">
        <v>8</v>
      </c>
      <c r="F86" s="3"/>
    </row>
    <row r="87" spans="1:6" x14ac:dyDescent="0.2">
      <c r="A87" s="3" t="s">
        <v>9</v>
      </c>
      <c r="B87" s="4">
        <v>45881</v>
      </c>
      <c r="C87" s="3" t="s">
        <v>12</v>
      </c>
      <c r="D87" s="3">
        <v>-4</v>
      </c>
      <c r="E87" s="3" t="s">
        <v>8</v>
      </c>
      <c r="F87" s="3"/>
    </row>
    <row r="88" spans="1:6" x14ac:dyDescent="0.2">
      <c r="A88" s="3" t="s">
        <v>9</v>
      </c>
      <c r="B88" s="4">
        <v>45884</v>
      </c>
      <c r="C88" s="3" t="s">
        <v>12</v>
      </c>
      <c r="D88" s="3">
        <v>-5</v>
      </c>
      <c r="E88" s="3" t="s">
        <v>8</v>
      </c>
      <c r="F88" s="3"/>
    </row>
    <row r="89" spans="1:6" x14ac:dyDescent="0.2">
      <c r="A89" s="3" t="s">
        <v>9</v>
      </c>
      <c r="B89" s="4">
        <v>45884</v>
      </c>
      <c r="C89" s="3" t="s">
        <v>12</v>
      </c>
      <c r="D89" s="3">
        <v>-4</v>
      </c>
      <c r="E89" s="3" t="s">
        <v>8</v>
      </c>
      <c r="F89" s="3"/>
    </row>
    <row r="90" spans="1:6" x14ac:dyDescent="0.2">
      <c r="A90" s="3" t="s">
        <v>30</v>
      </c>
      <c r="B90" s="4">
        <v>45884</v>
      </c>
      <c r="C90" s="3" t="s">
        <v>12</v>
      </c>
      <c r="D90" s="3">
        <v>3.59</v>
      </c>
      <c r="E90" s="3" t="s">
        <v>8</v>
      </c>
      <c r="F90" s="3"/>
    </row>
    <row r="91" spans="1:6" x14ac:dyDescent="0.2">
      <c r="A91" s="3" t="s">
        <v>30</v>
      </c>
      <c r="B91" s="4">
        <v>45884</v>
      </c>
      <c r="C91" s="3" t="s">
        <v>12</v>
      </c>
      <c r="D91" s="3">
        <v>-7.67</v>
      </c>
      <c r="E91" s="3" t="s">
        <v>8</v>
      </c>
      <c r="F91" s="3"/>
    </row>
    <row r="92" spans="1:6" x14ac:dyDescent="0.2">
      <c r="A92" s="3" t="s">
        <v>30</v>
      </c>
      <c r="B92" s="4">
        <v>45884</v>
      </c>
      <c r="C92" s="3" t="s">
        <v>12</v>
      </c>
      <c r="D92" s="3">
        <v>6.62</v>
      </c>
      <c r="E92" s="3" t="s">
        <v>8</v>
      </c>
      <c r="F92" s="3"/>
    </row>
    <row r="93" spans="1:6" x14ac:dyDescent="0.2">
      <c r="A93" s="3" t="s">
        <v>30</v>
      </c>
      <c r="B93" s="4">
        <v>45888</v>
      </c>
      <c r="C93" s="3" t="s">
        <v>12</v>
      </c>
      <c r="D93" s="3">
        <v>-10.0581</v>
      </c>
      <c r="E93" s="3" t="s">
        <v>8</v>
      </c>
      <c r="F93" s="3"/>
    </row>
    <row r="94" spans="1:6" x14ac:dyDescent="0.2">
      <c r="A94" s="3" t="s">
        <v>30</v>
      </c>
      <c r="B94" s="4">
        <v>45888</v>
      </c>
      <c r="C94" s="3" t="s">
        <v>7</v>
      </c>
      <c r="D94" s="3">
        <v>-0.16</v>
      </c>
      <c r="E94" s="3" t="s">
        <v>8</v>
      </c>
      <c r="F94" s="3"/>
    </row>
    <row r="95" spans="1:6" x14ac:dyDescent="0.2">
      <c r="A95" s="3" t="s">
        <v>16</v>
      </c>
      <c r="B95" s="4">
        <v>45888</v>
      </c>
      <c r="C95" s="3" t="s">
        <v>12</v>
      </c>
      <c r="D95" s="3">
        <f>-D93*4200</f>
        <v>42244.02</v>
      </c>
      <c r="E95" s="3" t="s">
        <v>8</v>
      </c>
      <c r="F95" s="3"/>
    </row>
    <row r="96" spans="1:6" x14ac:dyDescent="0.2">
      <c r="A96" s="3" t="s">
        <v>16</v>
      </c>
      <c r="B96" s="4">
        <v>45888</v>
      </c>
      <c r="C96" s="3" t="s">
        <v>7</v>
      </c>
      <c r="D96" s="3">
        <f>-D94*4200</f>
        <v>672</v>
      </c>
      <c r="E96" s="3" t="s">
        <v>8</v>
      </c>
      <c r="F96" s="3"/>
    </row>
    <row r="97" spans="1:6" x14ac:dyDescent="0.2">
      <c r="A97" s="5" t="s">
        <v>16</v>
      </c>
      <c r="B97" s="6">
        <v>45893</v>
      </c>
      <c r="C97" s="5" t="s">
        <v>12</v>
      </c>
      <c r="D97" s="5">
        <v>-20000</v>
      </c>
      <c r="E97" s="5" t="s">
        <v>8</v>
      </c>
      <c r="F97" s="5"/>
    </row>
    <row r="98" spans="1:6" x14ac:dyDescent="0.2">
      <c r="A98" s="5" t="s">
        <v>31</v>
      </c>
      <c r="B98" s="6">
        <v>45893</v>
      </c>
      <c r="C98" s="5" t="s">
        <v>12</v>
      </c>
      <c r="D98" s="5">
        <f>95.568*0.999</f>
        <v>95.472431999999998</v>
      </c>
      <c r="E98" s="5" t="s">
        <v>8</v>
      </c>
      <c r="F98" s="5"/>
    </row>
    <row r="99" spans="1:6" x14ac:dyDescent="0.2">
      <c r="A99" s="5" t="s">
        <v>16</v>
      </c>
      <c r="B99" s="6">
        <v>45893</v>
      </c>
      <c r="C99" s="5" t="s">
        <v>12</v>
      </c>
      <c r="D99" s="5">
        <v>-20000</v>
      </c>
      <c r="E99" s="5" t="s">
        <v>8</v>
      </c>
      <c r="F99" s="5"/>
    </row>
    <row r="100" spans="1:6" x14ac:dyDescent="0.2">
      <c r="A100" s="5" t="s">
        <v>9</v>
      </c>
      <c r="B100" s="6">
        <v>45893</v>
      </c>
      <c r="C100" s="5" t="s">
        <v>12</v>
      </c>
      <c r="D100" s="5">
        <f>5.9482*0.999</f>
        <v>5.9422518000000002</v>
      </c>
      <c r="E100" s="5" t="s">
        <v>8</v>
      </c>
      <c r="F100" s="5"/>
    </row>
    <row r="101" spans="1:6" x14ac:dyDescent="0.2">
      <c r="A101" s="5" t="s">
        <v>31</v>
      </c>
      <c r="B101" s="6">
        <v>45893</v>
      </c>
      <c r="C101" s="5" t="s">
        <v>12</v>
      </c>
      <c r="D101" s="5">
        <f>-95.568*0.999/2</f>
        <v>-47.736215999999999</v>
      </c>
      <c r="E101" s="5" t="s">
        <v>8</v>
      </c>
      <c r="F101" s="5"/>
    </row>
    <row r="102" spans="1:6" x14ac:dyDescent="0.2">
      <c r="A102" s="5" t="s">
        <v>31</v>
      </c>
      <c r="B102" s="6">
        <v>45893</v>
      </c>
      <c r="C102" s="5" t="s">
        <v>12</v>
      </c>
      <c r="D102" s="5">
        <f>95.568*0.999/2</f>
        <v>47.736215999999999</v>
      </c>
      <c r="E102" s="5" t="s">
        <v>32</v>
      </c>
    </row>
    <row r="103" spans="1:6" x14ac:dyDescent="0.2">
      <c r="A103" s="5" t="s">
        <v>31</v>
      </c>
      <c r="B103" s="6">
        <v>45893</v>
      </c>
      <c r="C103" s="5" t="s">
        <v>12</v>
      </c>
      <c r="D103" s="5">
        <f>-95.568*0.999/2</f>
        <v>-47.736215999999999</v>
      </c>
      <c r="E103" s="5" t="s">
        <v>32</v>
      </c>
    </row>
    <row r="104" spans="1:6" x14ac:dyDescent="0.2">
      <c r="A104" s="5" t="s">
        <v>26</v>
      </c>
      <c r="B104" s="6">
        <v>45893</v>
      </c>
      <c r="C104" s="5" t="s">
        <v>12</v>
      </c>
      <c r="D104" s="5">
        <v>8336</v>
      </c>
      <c r="E104" s="5" t="s">
        <v>32</v>
      </c>
    </row>
    <row r="105" spans="1:6" x14ac:dyDescent="0.2">
      <c r="A105" s="5" t="s">
        <v>33</v>
      </c>
      <c r="B105" s="6">
        <v>45893</v>
      </c>
      <c r="C105" s="5" t="s">
        <v>12</v>
      </c>
      <c r="D105" s="5">
        <v>4.4000000000000004</v>
      </c>
      <c r="E105" s="5" t="s">
        <v>24</v>
      </c>
    </row>
    <row r="106" spans="1:6" x14ac:dyDescent="0.2">
      <c r="A106" s="3" t="s">
        <v>9</v>
      </c>
      <c r="B106" s="4">
        <v>45881</v>
      </c>
      <c r="C106" s="3" t="s">
        <v>12</v>
      </c>
      <c r="D106" s="3">
        <v>-4</v>
      </c>
      <c r="E106" s="3" t="s">
        <v>11</v>
      </c>
    </row>
    <row r="107" spans="1:6" x14ac:dyDescent="0.2">
      <c r="A107" s="3" t="s">
        <v>9</v>
      </c>
      <c r="B107" s="4">
        <v>45881</v>
      </c>
      <c r="C107" s="3" t="s">
        <v>12</v>
      </c>
      <c r="D107" s="3">
        <v>4</v>
      </c>
      <c r="E107" s="3" t="s">
        <v>8</v>
      </c>
    </row>
    <row r="108" spans="1:6" x14ac:dyDescent="0.2">
      <c r="A108" s="5" t="s">
        <v>16</v>
      </c>
      <c r="B108" s="4">
        <v>45881</v>
      </c>
      <c r="C108" s="3" t="s">
        <v>12</v>
      </c>
      <c r="D108" s="5">
        <v>17756</v>
      </c>
      <c r="E108" s="5" t="s">
        <v>8</v>
      </c>
      <c r="F108" s="5" t="s">
        <v>34</v>
      </c>
    </row>
    <row r="109" spans="1:6" x14ac:dyDescent="0.2">
      <c r="A109" s="5" t="s">
        <v>30</v>
      </c>
      <c r="B109" s="2">
        <v>45894</v>
      </c>
      <c r="C109" s="3" t="s">
        <v>10</v>
      </c>
      <c r="D109" s="3">
        <v>-1.17</v>
      </c>
      <c r="E109" s="3" t="s">
        <v>17</v>
      </c>
    </row>
    <row r="110" spans="1:6" x14ac:dyDescent="0.2">
      <c r="A110" s="5" t="s">
        <v>16</v>
      </c>
      <c r="B110" s="2">
        <v>45894</v>
      </c>
      <c r="C110" s="3" t="s">
        <v>10</v>
      </c>
      <c r="D110" s="3">
        <v>5386</v>
      </c>
      <c r="E110" s="3" t="s">
        <v>17</v>
      </c>
    </row>
    <row r="111" spans="1:6" x14ac:dyDescent="0.2">
      <c r="A111" s="5" t="s">
        <v>30</v>
      </c>
      <c r="B111" s="2">
        <v>45894</v>
      </c>
      <c r="C111" s="3" t="s">
        <v>7</v>
      </c>
      <c r="D111" s="3">
        <v>-2.79</v>
      </c>
      <c r="E111" s="3" t="s">
        <v>27</v>
      </c>
    </row>
    <row r="112" spans="1:6" x14ac:dyDescent="0.2">
      <c r="A112" s="5" t="s">
        <v>16</v>
      </c>
      <c r="B112" s="2">
        <v>45894</v>
      </c>
      <c r="C112" s="3" t="s">
        <v>7</v>
      </c>
      <c r="D112" s="3">
        <v>12827</v>
      </c>
      <c r="E112" s="3" t="s">
        <v>27</v>
      </c>
    </row>
    <row r="113" spans="1:5" x14ac:dyDescent="0.2">
      <c r="A113" s="5" t="s">
        <v>16</v>
      </c>
      <c r="B113" s="4">
        <v>45895</v>
      </c>
      <c r="C113" s="3" t="s">
        <v>12</v>
      </c>
      <c r="D113" s="5">
        <v>-20000</v>
      </c>
      <c r="E113" s="5" t="s">
        <v>8</v>
      </c>
    </row>
    <row r="114" spans="1:5" x14ac:dyDescent="0.2">
      <c r="A114" s="5" t="s">
        <v>16</v>
      </c>
      <c r="B114" s="4">
        <v>45895</v>
      </c>
      <c r="C114" s="3" t="s">
        <v>12</v>
      </c>
      <c r="D114" s="5">
        <v>20000</v>
      </c>
      <c r="E114" s="5" t="s">
        <v>11</v>
      </c>
    </row>
    <row r="115" spans="1:5" x14ac:dyDescent="0.2">
      <c r="A115" s="5" t="s">
        <v>26</v>
      </c>
      <c r="B115" s="2">
        <v>45895</v>
      </c>
      <c r="C115" s="3" t="s">
        <v>12</v>
      </c>
      <c r="D115" s="3">
        <v>-8336</v>
      </c>
      <c r="E115" s="3" t="s">
        <v>32</v>
      </c>
    </row>
    <row r="116" spans="1:5" x14ac:dyDescent="0.2">
      <c r="A116" s="5" t="s">
        <v>33</v>
      </c>
      <c r="B116" s="2">
        <v>45895</v>
      </c>
      <c r="C116" s="3" t="s">
        <v>12</v>
      </c>
      <c r="D116">
        <f>26.6-4.4</f>
        <v>22.200000000000003</v>
      </c>
      <c r="E116" s="3" t="s">
        <v>24</v>
      </c>
    </row>
    <row r="117" spans="1:5" x14ac:dyDescent="0.2">
      <c r="A117" s="5" t="s">
        <v>16</v>
      </c>
      <c r="B117" s="2">
        <v>45897</v>
      </c>
      <c r="C117" s="3" t="s">
        <v>10</v>
      </c>
      <c r="D117">
        <v>-5386</v>
      </c>
      <c r="E117" s="3" t="s">
        <v>17</v>
      </c>
    </row>
    <row r="118" spans="1:5" x14ac:dyDescent="0.2">
      <c r="A118" s="5" t="s">
        <v>31</v>
      </c>
      <c r="B118" s="2">
        <v>45897</v>
      </c>
      <c r="C118" s="3" t="s">
        <v>10</v>
      </c>
      <c r="D118">
        <v>25.07</v>
      </c>
      <c r="E118" s="3" t="s">
        <v>17</v>
      </c>
    </row>
    <row r="119" spans="1:5" x14ac:dyDescent="0.2">
      <c r="A119" s="5" t="s">
        <v>16</v>
      </c>
      <c r="B119" s="2">
        <v>45897</v>
      </c>
      <c r="C119" s="3" t="s">
        <v>7</v>
      </c>
      <c r="D119">
        <v>-5600</v>
      </c>
      <c r="E119" s="3" t="s">
        <v>27</v>
      </c>
    </row>
    <row r="120" spans="1:5" x14ac:dyDescent="0.2">
      <c r="A120" s="5" t="s">
        <v>35</v>
      </c>
      <c r="B120" s="2">
        <v>45897</v>
      </c>
      <c r="C120" s="3" t="s">
        <v>7</v>
      </c>
      <c r="D120">
        <v>16.72</v>
      </c>
      <c r="E120" s="3" t="s">
        <v>17</v>
      </c>
    </row>
    <row r="121" spans="1:5" x14ac:dyDescent="0.2">
      <c r="A121" s="5" t="s">
        <v>35</v>
      </c>
      <c r="B121" s="2">
        <v>45897</v>
      </c>
      <c r="C121" s="3" t="s">
        <v>7</v>
      </c>
      <c r="D121">
        <v>-16.72</v>
      </c>
      <c r="E121" s="3" t="s">
        <v>17</v>
      </c>
    </row>
    <row r="122" spans="1:5" x14ac:dyDescent="0.2">
      <c r="A122" s="5" t="s">
        <v>35</v>
      </c>
      <c r="B122" s="2">
        <v>45897</v>
      </c>
      <c r="C122" s="3" t="s">
        <v>7</v>
      </c>
      <c r="D122">
        <v>16.72</v>
      </c>
      <c r="E122" s="3" t="s">
        <v>36</v>
      </c>
    </row>
    <row r="123" spans="1:5" x14ac:dyDescent="0.2">
      <c r="A123" s="5" t="s">
        <v>35</v>
      </c>
      <c r="B123" s="2">
        <v>45897</v>
      </c>
      <c r="C123" s="3" t="s">
        <v>7</v>
      </c>
      <c r="D123">
        <v>-8.35</v>
      </c>
      <c r="E123" s="3" t="s">
        <v>36</v>
      </c>
    </row>
    <row r="124" spans="1:5" x14ac:dyDescent="0.2">
      <c r="A124" s="7" t="s">
        <v>37</v>
      </c>
      <c r="B124" s="8">
        <v>45897</v>
      </c>
      <c r="C124" s="9" t="s">
        <v>7</v>
      </c>
      <c r="D124" s="9">
        <v>8.35</v>
      </c>
      <c r="E124" s="3" t="s">
        <v>36</v>
      </c>
    </row>
    <row r="125" spans="1:5" x14ac:dyDescent="0.2">
      <c r="A125" s="5" t="s">
        <v>35</v>
      </c>
      <c r="B125" s="2">
        <v>45898</v>
      </c>
      <c r="C125" s="3" t="s">
        <v>7</v>
      </c>
      <c r="D125">
        <v>-8.3699999999999992</v>
      </c>
      <c r="E125" s="3" t="s">
        <v>36</v>
      </c>
    </row>
    <row r="126" spans="1:5" x14ac:dyDescent="0.2">
      <c r="A126" s="7" t="s">
        <v>37</v>
      </c>
      <c r="B126" s="2">
        <v>45898</v>
      </c>
      <c r="C126" s="9" t="s">
        <v>7</v>
      </c>
      <c r="D126" s="9">
        <v>8.35</v>
      </c>
      <c r="E126" s="3" t="s">
        <v>36</v>
      </c>
    </row>
    <row r="127" spans="1:5" x14ac:dyDescent="0.2">
      <c r="A127" s="5" t="s">
        <v>31</v>
      </c>
      <c r="B127" s="2">
        <v>45899</v>
      </c>
      <c r="C127" s="3" t="s">
        <v>12</v>
      </c>
      <c r="D127" s="5">
        <v>-47.736215999999999</v>
      </c>
      <c r="E127" s="5" t="s">
        <v>8</v>
      </c>
    </row>
    <row r="128" spans="1:5" x14ac:dyDescent="0.2">
      <c r="A128" s="5" t="s">
        <v>16</v>
      </c>
      <c r="B128" s="2">
        <v>45899</v>
      </c>
      <c r="C128" s="3" t="s">
        <v>12</v>
      </c>
      <c r="D128" s="5">
        <v>9850</v>
      </c>
      <c r="E128" s="5" t="s">
        <v>8</v>
      </c>
    </row>
    <row r="129" spans="1:5" x14ac:dyDescent="0.2">
      <c r="A129" s="5" t="s">
        <v>31</v>
      </c>
      <c r="B129" s="2">
        <v>45899</v>
      </c>
      <c r="C129" s="3" t="s">
        <v>10</v>
      </c>
      <c r="D129">
        <v>-25.07</v>
      </c>
      <c r="E129" s="3" t="s">
        <v>17</v>
      </c>
    </row>
    <row r="130" spans="1:5" x14ac:dyDescent="0.2">
      <c r="A130" s="5" t="s">
        <v>16</v>
      </c>
      <c r="B130" s="2">
        <v>45899</v>
      </c>
      <c r="C130" s="3" t="s">
        <v>10</v>
      </c>
      <c r="D130">
        <v>5165</v>
      </c>
      <c r="E130" s="3" t="s">
        <v>17</v>
      </c>
    </row>
    <row r="131" spans="1:5" x14ac:dyDescent="0.2">
      <c r="A131" s="5" t="s">
        <v>16</v>
      </c>
      <c r="B131" s="2">
        <v>45899</v>
      </c>
      <c r="C131" s="3" t="s">
        <v>7</v>
      </c>
      <c r="D131">
        <v>-7227</v>
      </c>
      <c r="E131" s="3" t="s">
        <v>27</v>
      </c>
    </row>
    <row r="132" spans="1:5" x14ac:dyDescent="0.2">
      <c r="A132" s="5" t="s">
        <v>9</v>
      </c>
      <c r="B132" s="2">
        <v>45899</v>
      </c>
      <c r="C132" s="3" t="s">
        <v>7</v>
      </c>
      <c r="D132">
        <v>2.1</v>
      </c>
      <c r="E132" s="3" t="s">
        <v>38</v>
      </c>
    </row>
    <row r="133" spans="1:5" x14ac:dyDescent="0.2">
      <c r="A133" s="5" t="s">
        <v>16</v>
      </c>
      <c r="B133" s="2">
        <v>45899</v>
      </c>
      <c r="C133" s="3" t="s">
        <v>10</v>
      </c>
      <c r="D133">
        <v>-5165</v>
      </c>
      <c r="E133" s="3" t="s">
        <v>17</v>
      </c>
    </row>
    <row r="134" spans="1:5" x14ac:dyDescent="0.2">
      <c r="A134" s="5" t="s">
        <v>9</v>
      </c>
      <c r="B134" s="2">
        <v>45899</v>
      </c>
      <c r="C134" s="3" t="s">
        <v>10</v>
      </c>
      <c r="D134">
        <v>1.4930000000000001</v>
      </c>
      <c r="E134" s="3" t="s">
        <v>17</v>
      </c>
    </row>
    <row r="135" spans="1:5" x14ac:dyDescent="0.2">
      <c r="A135" s="5" t="s">
        <v>16</v>
      </c>
      <c r="B135" s="2">
        <v>45899</v>
      </c>
      <c r="C135" s="3" t="s">
        <v>12</v>
      </c>
      <c r="D135">
        <v>-9850</v>
      </c>
      <c r="E135" s="3" t="s">
        <v>8</v>
      </c>
    </row>
    <row r="136" spans="1:5" x14ac:dyDescent="0.2">
      <c r="A136" s="5" t="s">
        <v>9</v>
      </c>
      <c r="B136" s="2">
        <v>45899</v>
      </c>
      <c r="C136" s="3" t="s">
        <v>12</v>
      </c>
      <c r="D136">
        <v>2.8740000000000001</v>
      </c>
      <c r="E136" s="3" t="s">
        <v>8</v>
      </c>
    </row>
    <row r="137" spans="1:5" x14ac:dyDescent="0.2">
      <c r="A137" s="5" t="s">
        <v>9</v>
      </c>
      <c r="B137" s="2">
        <v>45899</v>
      </c>
      <c r="C137" s="3" t="s">
        <v>7</v>
      </c>
      <c r="D137">
        <v>-1.4450000000000001</v>
      </c>
      <c r="E137" s="3" t="s">
        <v>38</v>
      </c>
    </row>
    <row r="138" spans="1:5" x14ac:dyDescent="0.2">
      <c r="A138" s="5" t="s">
        <v>9</v>
      </c>
      <c r="B138" s="2">
        <v>45899</v>
      </c>
      <c r="C138" s="3" t="s">
        <v>12</v>
      </c>
      <c r="D138">
        <v>1.4450000000000001</v>
      </c>
      <c r="E138" s="3" t="s">
        <v>38</v>
      </c>
    </row>
    <row r="139" spans="1:5" x14ac:dyDescent="0.2">
      <c r="A139" s="5" t="s">
        <v>16</v>
      </c>
      <c r="B139" s="2">
        <v>45899</v>
      </c>
      <c r="C139" s="3" t="s">
        <v>12</v>
      </c>
      <c r="D139">
        <v>-5000</v>
      </c>
      <c r="E139" s="3" t="s">
        <v>11</v>
      </c>
    </row>
    <row r="140" spans="1:5" x14ac:dyDescent="0.2">
      <c r="A140" s="5" t="s">
        <v>16</v>
      </c>
      <c r="B140" s="2">
        <v>45899</v>
      </c>
      <c r="C140" s="3" t="s">
        <v>7</v>
      </c>
      <c r="D140">
        <v>5000</v>
      </c>
      <c r="E140" s="3" t="s">
        <v>11</v>
      </c>
    </row>
    <row r="141" spans="1:5" x14ac:dyDescent="0.2">
      <c r="A141" s="5" t="s">
        <v>16</v>
      </c>
      <c r="B141" s="2">
        <v>45899</v>
      </c>
      <c r="C141" s="3" t="s">
        <v>7</v>
      </c>
      <c r="D141">
        <v>-5000</v>
      </c>
      <c r="E141" s="3" t="s">
        <v>11</v>
      </c>
    </row>
    <row r="142" spans="1:5" x14ac:dyDescent="0.2">
      <c r="A142" s="7" t="s">
        <v>37</v>
      </c>
      <c r="B142" s="2">
        <v>45899</v>
      </c>
      <c r="C142" s="9" t="s">
        <v>7</v>
      </c>
      <c r="D142" s="9">
        <v>15.44</v>
      </c>
      <c r="E142" s="3" t="s">
        <v>36</v>
      </c>
    </row>
    <row r="143" spans="1:5" x14ac:dyDescent="0.2">
      <c r="A143" s="7" t="s">
        <v>37</v>
      </c>
      <c r="B143" s="2">
        <v>45906</v>
      </c>
      <c r="C143" s="9" t="s">
        <v>7</v>
      </c>
      <c r="D143" s="9">
        <f>-15.44-16.7</f>
        <v>-32.14</v>
      </c>
      <c r="E143" s="3" t="s">
        <v>36</v>
      </c>
    </row>
    <row r="144" spans="1:5" x14ac:dyDescent="0.2">
      <c r="A144" s="5" t="s">
        <v>16</v>
      </c>
      <c r="B144" s="2">
        <v>45906</v>
      </c>
      <c r="C144" s="9" t="s">
        <v>7</v>
      </c>
      <c r="D144">
        <v>9998</v>
      </c>
      <c r="E144" s="3" t="s">
        <v>17</v>
      </c>
    </row>
    <row r="145" spans="1:6" x14ac:dyDescent="0.2">
      <c r="A145" s="5" t="s">
        <v>16</v>
      </c>
      <c r="B145" s="2">
        <v>45908</v>
      </c>
      <c r="C145" s="9" t="s">
        <v>7</v>
      </c>
      <c r="D145">
        <v>-4000</v>
      </c>
      <c r="E145" s="3" t="s">
        <v>11</v>
      </c>
      <c r="F145" t="s">
        <v>39</v>
      </c>
    </row>
    <row r="146" spans="1:6" x14ac:dyDescent="0.2">
      <c r="A146" s="5" t="s">
        <v>16</v>
      </c>
      <c r="B146" s="2">
        <v>45908</v>
      </c>
      <c r="C146" s="9" t="s">
        <v>10</v>
      </c>
      <c r="D146">
        <v>4000</v>
      </c>
      <c r="E146" s="3" t="s">
        <v>11</v>
      </c>
      <c r="F146" t="s">
        <v>39</v>
      </c>
    </row>
    <row r="147" spans="1:6" x14ac:dyDescent="0.2">
      <c r="A147" s="5" t="s">
        <v>16</v>
      </c>
      <c r="B147" s="2">
        <v>45909</v>
      </c>
      <c r="C147" s="9" t="s">
        <v>7</v>
      </c>
      <c r="D147">
        <v>-9998</v>
      </c>
      <c r="E147" s="3" t="s">
        <v>17</v>
      </c>
    </row>
    <row r="148" spans="1:6" x14ac:dyDescent="0.2">
      <c r="A148" s="5" t="s">
        <v>31</v>
      </c>
      <c r="B148" s="2">
        <v>45909</v>
      </c>
      <c r="C148" s="9" t="s">
        <v>7</v>
      </c>
      <c r="D148">
        <v>45.756</v>
      </c>
      <c r="E148" s="3" t="s">
        <v>17</v>
      </c>
    </row>
    <row r="149" spans="1:6" x14ac:dyDescent="0.2">
      <c r="A149" s="5" t="s">
        <v>9</v>
      </c>
      <c r="B149" s="2">
        <v>45909</v>
      </c>
      <c r="C149" s="9" t="s">
        <v>12</v>
      </c>
      <c r="D149">
        <v>-5.48</v>
      </c>
      <c r="E149" s="3" t="s">
        <v>8</v>
      </c>
    </row>
    <row r="150" spans="1:6" x14ac:dyDescent="0.2">
      <c r="A150" s="5" t="s">
        <v>31</v>
      </c>
      <c r="B150" s="2">
        <v>45909</v>
      </c>
      <c r="C150" s="9" t="s">
        <v>12</v>
      </c>
      <c r="D150">
        <v>91.194999999999993</v>
      </c>
      <c r="E150" s="3" t="s">
        <v>8</v>
      </c>
    </row>
    <row r="151" spans="1:6" x14ac:dyDescent="0.2">
      <c r="A151" s="5" t="s">
        <v>33</v>
      </c>
      <c r="B151" s="2">
        <v>45909</v>
      </c>
      <c r="C151" s="9" t="s">
        <v>12</v>
      </c>
      <c r="D151">
        <v>-26.6</v>
      </c>
      <c r="E151" s="3" t="s">
        <v>24</v>
      </c>
    </row>
    <row r="152" spans="1:6" x14ac:dyDescent="0.2">
      <c r="A152" s="5" t="s">
        <v>31</v>
      </c>
      <c r="B152" s="2">
        <v>45909</v>
      </c>
      <c r="C152" s="9" t="s">
        <v>12</v>
      </c>
      <c r="D152">
        <v>45.4</v>
      </c>
      <c r="E152" s="3" t="s">
        <v>32</v>
      </c>
    </row>
    <row r="153" spans="1:6" x14ac:dyDescent="0.2">
      <c r="A153" s="5" t="s">
        <v>9</v>
      </c>
      <c r="B153" s="2">
        <v>45910</v>
      </c>
      <c r="C153" s="9" t="s">
        <v>12</v>
      </c>
      <c r="D153">
        <v>-3.3363</v>
      </c>
      <c r="E153" s="3" t="s">
        <v>8</v>
      </c>
    </row>
    <row r="154" spans="1:6" x14ac:dyDescent="0.2">
      <c r="A154" s="5" t="s">
        <v>31</v>
      </c>
      <c r="B154" s="2">
        <v>45910</v>
      </c>
      <c r="C154" s="9" t="s">
        <v>12</v>
      </c>
      <c r="D154">
        <v>54.341000000000001</v>
      </c>
      <c r="E154" s="3" t="s">
        <v>8</v>
      </c>
    </row>
    <row r="155" spans="1:6" x14ac:dyDescent="0.2">
      <c r="A155" s="5" t="s">
        <v>16</v>
      </c>
      <c r="B155" s="2">
        <v>45910</v>
      </c>
      <c r="C155" s="9" t="s">
        <v>12</v>
      </c>
      <c r="D155">
        <v>-10000</v>
      </c>
      <c r="E155" s="3" t="s">
        <v>11</v>
      </c>
    </row>
    <row r="156" spans="1:6" x14ac:dyDescent="0.2">
      <c r="A156" s="5" t="s">
        <v>31</v>
      </c>
      <c r="B156" s="2">
        <v>45910</v>
      </c>
      <c r="C156" s="9" t="s">
        <v>12</v>
      </c>
      <c r="D156">
        <v>44.53</v>
      </c>
      <c r="E156" s="3" t="s">
        <v>8</v>
      </c>
    </row>
    <row r="157" spans="1:6" x14ac:dyDescent="0.2">
      <c r="A157" s="5" t="s">
        <v>26</v>
      </c>
      <c r="B157" s="2">
        <v>45911</v>
      </c>
      <c r="C157" s="9" t="s">
        <v>7</v>
      </c>
      <c r="D157">
        <v>-1996</v>
      </c>
      <c r="E157" s="3" t="s">
        <v>28</v>
      </c>
      <c r="F157" t="s">
        <v>40</v>
      </c>
    </row>
    <row r="158" spans="1:6" x14ac:dyDescent="0.2">
      <c r="A158" s="5" t="s">
        <v>16</v>
      </c>
      <c r="B158" s="2">
        <v>45911</v>
      </c>
      <c r="C158" s="9" t="s">
        <v>10</v>
      </c>
      <c r="D158">
        <v>-1900</v>
      </c>
      <c r="E158" s="3" t="s">
        <v>11</v>
      </c>
      <c r="F158" t="s">
        <v>41</v>
      </c>
    </row>
    <row r="159" spans="1:6" x14ac:dyDescent="0.2">
      <c r="A159" s="5" t="s">
        <v>16</v>
      </c>
      <c r="B159" s="2">
        <v>45911</v>
      </c>
      <c r="C159" s="9" t="s">
        <v>7</v>
      </c>
      <c r="D159">
        <v>1900</v>
      </c>
      <c r="E159" s="3" t="s">
        <v>11</v>
      </c>
      <c r="F159" t="s">
        <v>40</v>
      </c>
    </row>
    <row r="160" spans="1:6" x14ac:dyDescent="0.2">
      <c r="A160" s="3" t="s">
        <v>16</v>
      </c>
      <c r="B160" s="2">
        <v>45912</v>
      </c>
      <c r="C160" s="9" t="s">
        <v>10</v>
      </c>
      <c r="D160">
        <v>-2000</v>
      </c>
      <c r="E160" s="3" t="s">
        <v>11</v>
      </c>
    </row>
    <row r="161" spans="1:5" x14ac:dyDescent="0.2">
      <c r="A161" s="3" t="s">
        <v>16</v>
      </c>
      <c r="B161" s="2">
        <v>45912</v>
      </c>
      <c r="C161" s="9" t="s">
        <v>12</v>
      </c>
      <c r="D161">
        <v>-5000</v>
      </c>
      <c r="E161" s="3" t="s">
        <v>11</v>
      </c>
    </row>
    <row r="162" spans="1:5" x14ac:dyDescent="0.2">
      <c r="A162" s="3" t="s">
        <v>16</v>
      </c>
      <c r="B162" s="2">
        <v>45912</v>
      </c>
      <c r="C162" s="9" t="s">
        <v>7</v>
      </c>
      <c r="D162">
        <v>-7000</v>
      </c>
      <c r="E162" s="3" t="s">
        <v>11</v>
      </c>
    </row>
    <row r="163" spans="1:5" x14ac:dyDescent="0.2">
      <c r="A163" s="3" t="s">
        <v>31</v>
      </c>
      <c r="B163" s="2">
        <v>45912</v>
      </c>
      <c r="C163" s="9" t="s">
        <v>10</v>
      </c>
      <c r="D163">
        <v>8.3699999999999992</v>
      </c>
      <c r="E163" s="3" t="s">
        <v>17</v>
      </c>
    </row>
    <row r="164" spans="1:5" x14ac:dyDescent="0.2">
      <c r="A164" s="3" t="s">
        <v>31</v>
      </c>
      <c r="B164" s="2">
        <v>45912</v>
      </c>
      <c r="C164" s="9" t="s">
        <v>12</v>
      </c>
      <c r="D164">
        <v>20.93</v>
      </c>
      <c r="E164" s="3" t="s">
        <v>17</v>
      </c>
    </row>
    <row r="165" spans="1:5" x14ac:dyDescent="0.2">
      <c r="A165" s="3" t="s">
        <v>31</v>
      </c>
      <c r="B165" s="2">
        <v>45912</v>
      </c>
      <c r="C165" s="9" t="s">
        <v>7</v>
      </c>
      <c r="D165">
        <v>29.31</v>
      </c>
      <c r="E165" s="3" t="s">
        <v>17</v>
      </c>
    </row>
    <row r="166" spans="1:5" x14ac:dyDescent="0.2">
      <c r="A166" s="3" t="s">
        <v>31</v>
      </c>
      <c r="B166" s="2">
        <v>45918</v>
      </c>
      <c r="C166" s="9" t="s">
        <v>12</v>
      </c>
      <c r="D166">
        <v>-100</v>
      </c>
      <c r="E166" s="3" t="s">
        <v>8</v>
      </c>
    </row>
    <row r="167" spans="1:5" x14ac:dyDescent="0.2">
      <c r="A167" s="3" t="s">
        <v>42</v>
      </c>
      <c r="B167" s="2">
        <v>45918</v>
      </c>
      <c r="C167" s="9" t="s">
        <v>12</v>
      </c>
      <c r="D167">
        <v>747.63</v>
      </c>
      <c r="E167" s="3" t="s">
        <v>8</v>
      </c>
    </row>
    <row r="168" spans="1:5" x14ac:dyDescent="0.2">
      <c r="A168" s="3" t="s">
        <v>42</v>
      </c>
      <c r="B168" s="2">
        <v>45922</v>
      </c>
      <c r="C168" s="9" t="s">
        <v>12</v>
      </c>
      <c r="D168">
        <v>-747.63</v>
      </c>
      <c r="E168" s="3" t="s">
        <v>8</v>
      </c>
    </row>
    <row r="169" spans="1:5" x14ac:dyDescent="0.2">
      <c r="A169" s="3" t="s">
        <v>16</v>
      </c>
      <c r="B169" s="2">
        <v>45922</v>
      </c>
      <c r="C169" s="9" t="s">
        <v>12</v>
      </c>
      <c r="D169">
        <v>22690</v>
      </c>
      <c r="E169" s="3" t="s">
        <v>8</v>
      </c>
    </row>
    <row r="170" spans="1:5" x14ac:dyDescent="0.2">
      <c r="A170" s="3" t="s">
        <v>31</v>
      </c>
      <c r="B170" s="2">
        <v>45918</v>
      </c>
      <c r="C170" s="9" t="s">
        <v>12</v>
      </c>
      <c r="D170">
        <v>-90.066000000000003</v>
      </c>
      <c r="E170" s="3" t="s">
        <v>8</v>
      </c>
    </row>
    <row r="171" spans="1:5" x14ac:dyDescent="0.2">
      <c r="A171" s="3" t="s">
        <v>16</v>
      </c>
      <c r="B171" s="2">
        <v>45918</v>
      </c>
      <c r="C171" s="9" t="s">
        <v>12</v>
      </c>
      <c r="D171">
        <v>20443</v>
      </c>
      <c r="E171" s="3" t="s">
        <v>8</v>
      </c>
    </row>
    <row r="172" spans="1:5" x14ac:dyDescent="0.2">
      <c r="A172" s="3" t="s">
        <v>43</v>
      </c>
      <c r="B172" s="2">
        <v>45922</v>
      </c>
      <c r="C172" s="9" t="s">
        <v>12</v>
      </c>
      <c r="D172">
        <v>-269.83</v>
      </c>
      <c r="E172" s="3" t="s">
        <v>15</v>
      </c>
    </row>
    <row r="173" spans="1:5" x14ac:dyDescent="0.2">
      <c r="A173" s="3" t="s">
        <v>16</v>
      </c>
      <c r="B173" s="2">
        <v>45922</v>
      </c>
      <c r="C173" s="9" t="s">
        <v>12</v>
      </c>
      <c r="D173">
        <v>11792</v>
      </c>
      <c r="E173" s="3" t="s">
        <v>15</v>
      </c>
    </row>
    <row r="174" spans="1:5" x14ac:dyDescent="0.2">
      <c r="A174" s="3" t="s">
        <v>31</v>
      </c>
      <c r="B174" s="2">
        <v>45918</v>
      </c>
      <c r="C174" s="9" t="s">
        <v>7</v>
      </c>
      <c r="D174">
        <v>-75.066000000000003</v>
      </c>
      <c r="E174" s="3" t="s">
        <v>17</v>
      </c>
    </row>
    <row r="175" spans="1:5" x14ac:dyDescent="0.2">
      <c r="A175" s="3" t="s">
        <v>31</v>
      </c>
      <c r="B175" s="2">
        <v>45918</v>
      </c>
      <c r="C175" s="9" t="s">
        <v>12</v>
      </c>
      <c r="D175">
        <v>-20.93</v>
      </c>
      <c r="E175" s="3" t="s">
        <v>17</v>
      </c>
    </row>
    <row r="176" spans="1:5" x14ac:dyDescent="0.2">
      <c r="A176" s="3" t="s">
        <v>31</v>
      </c>
      <c r="B176" s="2">
        <v>45918</v>
      </c>
      <c r="C176" s="9" t="s">
        <v>10</v>
      </c>
      <c r="D176">
        <v>-8.3699999999999992</v>
      </c>
      <c r="E176" s="3" t="s">
        <v>17</v>
      </c>
    </row>
    <row r="177" spans="1:5" x14ac:dyDescent="0.2">
      <c r="A177" s="3" t="s">
        <v>16</v>
      </c>
      <c r="B177" s="2">
        <v>45918</v>
      </c>
      <c r="C177" s="9" t="s">
        <v>7</v>
      </c>
      <c r="D177">
        <v>17039</v>
      </c>
      <c r="E177" s="3" t="s">
        <v>17</v>
      </c>
    </row>
    <row r="178" spans="1:5" x14ac:dyDescent="0.2">
      <c r="A178" s="3" t="s">
        <v>16</v>
      </c>
      <c r="B178" s="2">
        <v>45918</v>
      </c>
      <c r="C178" s="9" t="s">
        <v>12</v>
      </c>
      <c r="D178">
        <v>4751</v>
      </c>
      <c r="E178" s="3" t="s">
        <v>17</v>
      </c>
    </row>
    <row r="179" spans="1:5" x14ac:dyDescent="0.2">
      <c r="A179" s="3" t="s">
        <v>16</v>
      </c>
      <c r="B179" s="2">
        <v>45918</v>
      </c>
      <c r="C179" s="9" t="s">
        <v>10</v>
      </c>
      <c r="D179">
        <v>1899</v>
      </c>
      <c r="E179" s="3" t="s">
        <v>17</v>
      </c>
    </row>
    <row r="180" spans="1:5" x14ac:dyDescent="0.2">
      <c r="A180" s="3" t="s">
        <v>31</v>
      </c>
      <c r="B180" s="2">
        <v>45923</v>
      </c>
      <c r="C180" s="9" t="s">
        <v>12</v>
      </c>
      <c r="D180">
        <v>-45.4</v>
      </c>
      <c r="E180" s="3" t="s">
        <v>32</v>
      </c>
    </row>
    <row r="181" spans="1:5" x14ac:dyDescent="0.2">
      <c r="A181" s="3" t="s">
        <v>16</v>
      </c>
      <c r="B181" s="2">
        <v>45923</v>
      </c>
      <c r="C181" s="9" t="s">
        <v>12</v>
      </c>
      <c r="D181">
        <v>9752</v>
      </c>
      <c r="E181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lyons</dc:creator>
  <cp:lastModifiedBy>john lyons</cp:lastModifiedBy>
  <dcterms:created xsi:type="dcterms:W3CDTF">2025-09-23T11:57:17Z</dcterms:created>
  <dcterms:modified xsi:type="dcterms:W3CDTF">2025-09-23T11:57:46Z</dcterms:modified>
</cp:coreProperties>
</file>