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johnlyons/Documents/Personal/DataScience/R/JL CTS scripts/"/>
    </mc:Choice>
  </mc:AlternateContent>
  <xr:revisionPtr revIDLastSave="0" documentId="13_ncr:1_{CFD28A39-BC26-1848-80BB-D783C684A377}" xr6:coauthVersionLast="36" xr6:coauthVersionMax="36" xr10:uidLastSave="{00000000-0000-0000-0000-000000000000}"/>
  <bookViews>
    <workbookView xWindow="14680" yWindow="820" windowWidth="23720" windowHeight="20780" xr2:uid="{F7A35716-320C-6E4A-867B-6141F9FDB2BC}"/>
  </bookViews>
  <sheets>
    <sheet name="Sheet1" sheetId="1" r:id="rId1"/>
    <sheet name="Sheet2" sheetId="2" r:id="rId2"/>
  </sheets>
  <definedNames>
    <definedName name="_xlnm._FilterDatabase" localSheetId="0" hidden="1">Sheet1!$A$1:$E$61</definedName>
  </definedNames>
  <calcPr calcId="181029"/>
  <pivotCaches>
    <pivotCache cacheId="81" r:id="rId3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5" i="1" l="1"/>
  <c r="O45" i="1" l="1"/>
  <c r="O47" i="1" s="1"/>
  <c r="N46" i="1"/>
  <c r="N45" i="1"/>
  <c r="M45" i="1"/>
  <c r="M47" i="1" s="1"/>
  <c r="L45" i="1"/>
  <c r="L47" i="1" s="1"/>
  <c r="K45" i="1"/>
  <c r="K47" i="1" s="1"/>
  <c r="N47" i="1" l="1"/>
  <c r="Q47" i="1"/>
  <c r="P48" i="1" s="1"/>
  <c r="D48" i="1"/>
  <c r="O48" i="1" l="1"/>
  <c r="N48" i="1"/>
  <c r="M48" i="1"/>
  <c r="L48" i="1"/>
  <c r="K48" i="1"/>
  <c r="D40" i="1"/>
  <c r="D33" i="1" l="1"/>
</calcChain>
</file>

<file path=xl/sharedStrings.xml><?xml version="1.0" encoding="utf-8"?>
<sst xmlns="http://schemas.openxmlformats.org/spreadsheetml/2006/main" count="272" uniqueCount="37">
  <si>
    <t>Instrument</t>
  </si>
  <si>
    <t>Date</t>
  </si>
  <si>
    <t>Allocation</t>
  </si>
  <si>
    <t>Unit</t>
  </si>
  <si>
    <t>BTC</t>
  </si>
  <si>
    <t>Personal</t>
  </si>
  <si>
    <t>Binance</t>
  </si>
  <si>
    <t>Paxg</t>
  </si>
  <si>
    <t>Account</t>
  </si>
  <si>
    <t>MultiSig</t>
  </si>
  <si>
    <t>Investment</t>
  </si>
  <si>
    <t>Fly</t>
  </si>
  <si>
    <t>Kag</t>
  </si>
  <si>
    <t>Kinesis</t>
  </si>
  <si>
    <t>USDT</t>
  </si>
  <si>
    <t>Mexc</t>
  </si>
  <si>
    <t>HoldingEntity</t>
  </si>
  <si>
    <t>ER</t>
  </si>
  <si>
    <t>Comment</t>
  </si>
  <si>
    <t>Mnthly fundingfor July</t>
  </si>
  <si>
    <t>Moved from PAXG to BTC</t>
  </si>
  <si>
    <t>XRP</t>
  </si>
  <si>
    <t>Switch out PAXG to XRP</t>
  </si>
  <si>
    <t>Row Labels</t>
  </si>
  <si>
    <t>(blank)</t>
  </si>
  <si>
    <t>Grand Total</t>
  </si>
  <si>
    <t>Column Labels</t>
  </si>
  <si>
    <t>Sum of Unit</t>
  </si>
  <si>
    <t>TRX</t>
  </si>
  <si>
    <t>ALGO</t>
  </si>
  <si>
    <t>Trezor</t>
  </si>
  <si>
    <t>Income for Aug</t>
  </si>
  <si>
    <t>USDC</t>
  </si>
  <si>
    <t>Trez10</t>
  </si>
  <si>
    <t>Trezor 4 Plschain</t>
  </si>
  <si>
    <t>Trezor10</t>
  </si>
  <si>
    <t>Trezor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</si>
</sst>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 wrapText="1"/>
    </xf>
    <xf numFmtId="15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Fill="1"/>
    <xf numFmtId="15" fontId="0" fillId="0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2" fontId="0" fillId="0" borderId="0" xfId="0" applyNumberFormat="1"/>
    <xf numFmtId="164" fontId="0" fillId="0" borderId="0" xfId="1" applyNumberFormat="1" applyFont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60">
    <dxf>
      <alignment horizontal="center"/>
    </dxf>
    <dxf>
      <alignment vertical="center"/>
    </dxf>
    <dxf>
      <numFmt numFmtId="2" formatCode="0.00"/>
    </dxf>
    <dxf>
      <alignment horizontal="center"/>
    </dxf>
    <dxf>
      <numFmt numFmtId="2" formatCode="0.00"/>
    </dxf>
    <dxf>
      <numFmt numFmtId="2" formatCode="0.00"/>
    </dxf>
    <dxf>
      <alignment horizontal="center"/>
    </dxf>
    <dxf>
      <alignment vertical="center"/>
    </dxf>
    <dxf>
      <numFmt numFmtId="2" formatCode="0.00"/>
    </dxf>
    <dxf>
      <alignment horizontal="center"/>
    </dxf>
    <dxf>
      <numFmt numFmtId="2" formatCode="0.00"/>
    </dxf>
    <dxf>
      <numFmt numFmtId="2" formatCode="0.00"/>
    </dxf>
    <dxf>
      <alignment horizontal="center"/>
    </dxf>
    <dxf>
      <alignment vertical="center"/>
    </dxf>
    <dxf>
      <numFmt numFmtId="2" formatCode="0.00"/>
    </dxf>
    <dxf>
      <alignment horizontal="center"/>
    </dxf>
    <dxf>
      <numFmt numFmtId="2" formatCode="0.00"/>
    </dxf>
    <dxf>
      <numFmt numFmtId="2" formatCode="0.00"/>
    </dxf>
    <dxf>
      <alignment horizontal="center"/>
    </dxf>
    <dxf>
      <alignment vertical="center"/>
    </dxf>
    <dxf>
      <numFmt numFmtId="2" formatCode="0.00"/>
    </dxf>
    <dxf>
      <alignment horizontal="center"/>
    </dxf>
    <dxf>
      <numFmt numFmtId="2" formatCode="0.00"/>
    </dxf>
    <dxf>
      <numFmt numFmtId="2" formatCode="0.00"/>
    </dxf>
    <dxf>
      <alignment horizontal="center"/>
    </dxf>
    <dxf>
      <alignment vertical="center"/>
    </dxf>
    <dxf>
      <numFmt numFmtId="2" formatCode="0.00"/>
    </dxf>
    <dxf>
      <alignment horizontal="center"/>
    </dxf>
    <dxf>
      <numFmt numFmtId="2" formatCode="0.00"/>
    </dxf>
    <dxf>
      <numFmt numFmtId="2" formatCode="0.00"/>
    </dxf>
    <dxf>
      <alignment horizontal="center"/>
    </dxf>
    <dxf>
      <alignment vertical="center"/>
    </dxf>
    <dxf>
      <numFmt numFmtId="2" formatCode="0.00"/>
    </dxf>
    <dxf>
      <alignment horizontal="center"/>
    </dxf>
    <dxf>
      <numFmt numFmtId="2" formatCode="0.00"/>
    </dxf>
    <dxf>
      <numFmt numFmtId="2" formatCode="0.00"/>
    </dxf>
    <dxf>
      <alignment horizontal="center"/>
    </dxf>
    <dxf>
      <alignment vertical="center"/>
    </dxf>
    <dxf>
      <numFmt numFmtId="2" formatCode="0.00"/>
    </dxf>
    <dxf>
      <alignment horizontal="center"/>
    </dxf>
    <dxf>
      <numFmt numFmtId="2" formatCode="0.00"/>
    </dxf>
    <dxf>
      <numFmt numFmtId="2" formatCode="0.00"/>
    </dxf>
    <dxf>
      <alignment horizontal="center"/>
    </dxf>
    <dxf>
      <alignment vertical="center"/>
    </dxf>
    <dxf>
      <numFmt numFmtId="2" formatCode="0.00"/>
    </dxf>
    <dxf>
      <alignment horizontal="center"/>
    </dxf>
    <dxf>
      <numFmt numFmtId="2" formatCode="0.00"/>
    </dxf>
    <dxf>
      <numFmt numFmtId="2" formatCode="0.00"/>
    </dxf>
    <dxf>
      <alignment horizontal="center"/>
    </dxf>
    <dxf>
      <alignment vertical="center"/>
    </dxf>
    <dxf>
      <numFmt numFmtId="2" formatCode="0.00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numFmt numFmtId="2" formatCode="0.00"/>
    </dxf>
    <dxf>
      <alignment vertic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ons, John: Absa" refreshedDate="45874.424211342593" createdVersion="6" refreshedVersion="6" minRefreshableVersion="3" recordCount="68" xr:uid="{A442F069-4126-DE42-AB41-A6B82E36E03B}">
  <cacheSource type="worksheet">
    <worksheetSource ref="A1:E1048576" sheet="Sheet1"/>
  </cacheSource>
  <cacheFields count="5">
    <cacheField name="Instrument" numFmtId="0">
      <sharedItems containsBlank="1" count="9">
        <s v="BTC"/>
        <s v="Paxg"/>
        <s v="Kag"/>
        <s v="USDT"/>
        <s v="XRP"/>
        <s v="TRX"/>
        <s v="ALGO"/>
        <s v="USDC"/>
        <m/>
      </sharedItems>
    </cacheField>
    <cacheField name="Date" numFmtId="0">
      <sharedItems containsNonDate="0" containsDate="1" containsString="0" containsBlank="1" minDate="2025-06-11T00:00:00" maxDate="2025-08-06T00:00:00"/>
    </cacheField>
    <cacheField name="Allocation" numFmtId="0">
      <sharedItems containsBlank="1" count="5">
        <s v="Personal"/>
        <s v="Account"/>
        <s v="Investment"/>
        <s v="Fly"/>
        <m/>
      </sharedItems>
    </cacheField>
    <cacheField name="Unit" numFmtId="0">
      <sharedItems containsString="0" containsBlank="1" containsNumber="1" minValue="-26700" maxValue="40855"/>
    </cacheField>
    <cacheField name="HoldingEntity" numFmtId="0">
      <sharedItems containsBlank="1" count="8">
        <s v="Binance"/>
        <s v="MultiSig"/>
        <s v="Kinesis"/>
        <s v="Mexc"/>
        <s v="Trezor"/>
        <s v="Trezor 4 Plschain"/>
        <s v="Trezor1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x v="0"/>
    <d v="2025-06-11T00:00:00"/>
    <x v="0"/>
    <n v="5.4670000000000003E-2"/>
    <x v="0"/>
  </r>
  <r>
    <x v="1"/>
    <d v="2025-06-11T00:00:00"/>
    <x v="1"/>
    <n v="1.903"/>
    <x v="1"/>
  </r>
  <r>
    <x v="1"/>
    <d v="2025-06-11T00:00:00"/>
    <x v="2"/>
    <n v="35.86"/>
    <x v="1"/>
  </r>
  <r>
    <x v="1"/>
    <d v="2025-06-11T00:00:00"/>
    <x v="3"/>
    <n v="0.75700000000000001"/>
    <x v="1"/>
  </r>
  <r>
    <x v="2"/>
    <d v="2025-06-11T00:00:00"/>
    <x v="2"/>
    <n v="513.36"/>
    <x v="2"/>
  </r>
  <r>
    <x v="3"/>
    <d v="2025-06-11T00:00:00"/>
    <x v="1"/>
    <n v="4655"/>
    <x v="3"/>
  </r>
  <r>
    <x v="3"/>
    <d v="2025-06-11T00:00:00"/>
    <x v="1"/>
    <n v="82"/>
    <x v="0"/>
  </r>
  <r>
    <x v="3"/>
    <d v="2025-06-11T00:00:00"/>
    <x v="2"/>
    <n v="213"/>
    <x v="0"/>
  </r>
  <r>
    <x v="3"/>
    <d v="2025-06-11T00:00:00"/>
    <x v="0"/>
    <n v="6183"/>
    <x v="0"/>
  </r>
  <r>
    <x v="0"/>
    <d v="2025-06-24T00:00:00"/>
    <x v="0"/>
    <n v="-5.4670000000000003E-2"/>
    <x v="0"/>
  </r>
  <r>
    <x v="3"/>
    <d v="2025-06-24T00:00:00"/>
    <x v="0"/>
    <n v="5741"/>
    <x v="0"/>
  </r>
  <r>
    <x v="1"/>
    <d v="2025-06-26T00:00:00"/>
    <x v="2"/>
    <n v="-10"/>
    <x v="1"/>
  </r>
  <r>
    <x v="2"/>
    <d v="2025-06-26T00:00:00"/>
    <x v="2"/>
    <n v="905.73"/>
    <x v="2"/>
  </r>
  <r>
    <x v="3"/>
    <d v="2025-07-02T00:00:00"/>
    <x v="0"/>
    <n v="-4000"/>
    <x v="0"/>
  </r>
  <r>
    <x v="1"/>
    <d v="2025-07-06T00:00:00"/>
    <x v="2"/>
    <n v="-6.58"/>
    <x v="1"/>
  </r>
  <r>
    <x v="0"/>
    <d v="2025-07-06T00:00:00"/>
    <x v="2"/>
    <n v="0.20372999999999999"/>
    <x v="0"/>
  </r>
  <r>
    <x v="1"/>
    <d v="2025-07-10T00:00:00"/>
    <x v="2"/>
    <n v="-5"/>
    <x v="1"/>
  </r>
  <r>
    <x v="0"/>
    <d v="2025-07-10T00:00:00"/>
    <x v="2"/>
    <n v="0.14499999999999999"/>
    <x v="0"/>
  </r>
  <r>
    <x v="3"/>
    <d v="2025-07-10T00:00:00"/>
    <x v="0"/>
    <n v="-7924"/>
    <x v="0"/>
  </r>
  <r>
    <x v="4"/>
    <d v="2025-07-10T00:00:00"/>
    <x v="0"/>
    <n v="3288"/>
    <x v="0"/>
  </r>
  <r>
    <x v="3"/>
    <d v="2025-07-13T00:00:00"/>
    <x v="1"/>
    <n v="-4655"/>
    <x v="3"/>
  </r>
  <r>
    <x v="4"/>
    <d v="2025-07-13T00:00:00"/>
    <x v="1"/>
    <n v="1679"/>
    <x v="3"/>
  </r>
  <r>
    <x v="1"/>
    <d v="2025-07-16T00:00:00"/>
    <x v="2"/>
    <n v="-3.9"/>
    <x v="1"/>
  </r>
  <r>
    <x v="4"/>
    <d v="2025-07-16T00:00:00"/>
    <x v="2"/>
    <n v="4424"/>
    <x v="0"/>
  </r>
  <r>
    <x v="4"/>
    <d v="2025-07-13T00:00:00"/>
    <x v="1"/>
    <n v="-1679"/>
    <x v="3"/>
  </r>
  <r>
    <x v="5"/>
    <d v="2025-07-18T00:00:00"/>
    <x v="1"/>
    <n v="16789"/>
    <x v="3"/>
  </r>
  <r>
    <x v="4"/>
    <d v="2025-07-10T00:00:00"/>
    <x v="0"/>
    <n v="-3288"/>
    <x v="0"/>
  </r>
  <r>
    <x v="3"/>
    <d v="2025-07-17T00:00:00"/>
    <x v="0"/>
    <n v="10873"/>
    <x v="0"/>
  </r>
  <r>
    <x v="4"/>
    <d v="2025-07-16T00:00:00"/>
    <x v="2"/>
    <n v="-4424"/>
    <x v="0"/>
  </r>
  <r>
    <x v="3"/>
    <d v="2025-07-17T00:00:00"/>
    <x v="2"/>
    <n v="15015"/>
    <x v="0"/>
  </r>
  <r>
    <x v="3"/>
    <d v="2025-07-18T00:00:00"/>
    <x v="2"/>
    <n v="-15015"/>
    <x v="0"/>
  </r>
  <r>
    <x v="0"/>
    <d v="2025-07-18T00:00:00"/>
    <x v="2"/>
    <n v="0.12424"/>
    <x v="0"/>
  </r>
  <r>
    <x v="0"/>
    <d v="2025-07-18T00:00:00"/>
    <x v="2"/>
    <n v="-0.34838000000000002"/>
    <x v="0"/>
  </r>
  <r>
    <x v="3"/>
    <d v="2025-07-18T00:00:00"/>
    <x v="2"/>
    <n v="40855"/>
    <x v="0"/>
  </r>
  <r>
    <x v="3"/>
    <d v="2025-07-20T00:00:00"/>
    <x v="2"/>
    <n v="-20000"/>
    <x v="0"/>
  </r>
  <r>
    <x v="4"/>
    <d v="2025-07-20T00:00:00"/>
    <x v="2"/>
    <n v="5698"/>
    <x v="0"/>
  </r>
  <r>
    <x v="3"/>
    <d v="2025-07-21T00:00:00"/>
    <x v="2"/>
    <n v="-21068"/>
    <x v="0"/>
  </r>
  <r>
    <x v="3"/>
    <d v="2025-07-21T00:00:00"/>
    <x v="0"/>
    <n v="-10873"/>
    <x v="0"/>
  </r>
  <r>
    <x v="4"/>
    <d v="2025-07-21T00:00:00"/>
    <x v="0"/>
    <n v="3128"/>
    <x v="0"/>
  </r>
  <r>
    <x v="4"/>
    <d v="2025-07-21T00:00:00"/>
    <x v="2"/>
    <n v="6000"/>
    <x v="2"/>
  </r>
  <r>
    <x v="5"/>
    <d v="2025-07-21T00:00:00"/>
    <x v="1"/>
    <n v="-16789"/>
    <x v="3"/>
  </r>
  <r>
    <x v="6"/>
    <d v="2025-07-21T00:00:00"/>
    <x v="1"/>
    <n v="17304"/>
    <x v="3"/>
  </r>
  <r>
    <x v="6"/>
    <d v="2025-07-21T00:00:00"/>
    <x v="1"/>
    <n v="-17304"/>
    <x v="3"/>
  </r>
  <r>
    <x v="3"/>
    <d v="2025-07-22T00:00:00"/>
    <x v="1"/>
    <n v="4975"/>
    <x v="3"/>
  </r>
  <r>
    <x v="4"/>
    <d v="2025-07-23T00:00:00"/>
    <x v="2"/>
    <n v="-5698"/>
    <x v="0"/>
  </r>
  <r>
    <x v="3"/>
    <d v="2025-07-23T00:00:00"/>
    <x v="2"/>
    <n v="18927"/>
    <x v="1"/>
  </r>
  <r>
    <x v="4"/>
    <d v="2025-07-23T00:00:00"/>
    <x v="0"/>
    <n v="-3128"/>
    <x v="0"/>
  </r>
  <r>
    <x v="3"/>
    <d v="2025-07-23T00:00:00"/>
    <x v="0"/>
    <n v="10418"/>
    <x v="1"/>
  </r>
  <r>
    <x v="0"/>
    <d v="2025-07-23T00:00:00"/>
    <x v="2"/>
    <n v="-0.12459000000000001"/>
    <x v="0"/>
  </r>
  <r>
    <x v="0"/>
    <d v="2025-07-23T00:00:00"/>
    <x v="2"/>
    <n v="0.12459000000000001"/>
    <x v="4"/>
  </r>
  <r>
    <x v="4"/>
    <d v="2025-07-25T00:00:00"/>
    <x v="2"/>
    <n v="-6000"/>
    <x v="2"/>
  </r>
  <r>
    <x v="4"/>
    <d v="2025-07-25T00:00:00"/>
    <x v="2"/>
    <n v="6000"/>
    <x v="4"/>
  </r>
  <r>
    <x v="0"/>
    <d v="2025-07-25T00:00:00"/>
    <x v="2"/>
    <n v="0.12459000000000001"/>
    <x v="0"/>
  </r>
  <r>
    <x v="0"/>
    <d v="2025-07-25T00:00:00"/>
    <x v="2"/>
    <n v="-0.12459000000000001"/>
    <x v="4"/>
  </r>
  <r>
    <x v="0"/>
    <d v="2025-07-25T00:00:00"/>
    <x v="2"/>
    <n v="-0.12459000000000001"/>
    <x v="0"/>
  </r>
  <r>
    <x v="3"/>
    <d v="2025-07-25T00:00:00"/>
    <x v="2"/>
    <n v="14367"/>
    <x v="0"/>
  </r>
  <r>
    <x v="1"/>
    <d v="2025-08-01T00:00:00"/>
    <x v="2"/>
    <n v="-1.1659999999999999"/>
    <x v="1"/>
  </r>
  <r>
    <x v="1"/>
    <d v="2025-08-01T00:00:00"/>
    <x v="1"/>
    <n v="1.1659999999999999"/>
    <x v="1"/>
  </r>
  <r>
    <x v="4"/>
    <d v="2025-08-04T00:00:00"/>
    <x v="2"/>
    <n v="-6000"/>
    <x v="4"/>
  </r>
  <r>
    <x v="3"/>
    <d v="2025-08-04T00:00:00"/>
    <x v="2"/>
    <n v="17965"/>
    <x v="0"/>
  </r>
  <r>
    <x v="7"/>
    <d v="2025-08-04T00:00:00"/>
    <x v="0"/>
    <n v="11594"/>
    <x v="5"/>
  </r>
  <r>
    <x v="7"/>
    <d v="2025-08-04T00:00:00"/>
    <x v="0"/>
    <n v="1996"/>
    <x v="6"/>
  </r>
  <r>
    <x v="3"/>
    <d v="2025-08-04T00:00:00"/>
    <x v="2"/>
    <n v="-26700"/>
    <x v="0"/>
  </r>
  <r>
    <x v="1"/>
    <d v="2025-08-04T00:00:00"/>
    <x v="2"/>
    <n v="7.8993700000000002"/>
    <x v="1"/>
  </r>
  <r>
    <x v="3"/>
    <d v="2025-08-05T00:00:00"/>
    <x v="2"/>
    <n v="-19489"/>
    <x v="0"/>
  </r>
  <r>
    <x v="1"/>
    <d v="2025-08-05T00:00:00"/>
    <x v="2"/>
    <n v="5.7767999999999997"/>
    <x v="1"/>
  </r>
  <r>
    <x v="8"/>
    <m/>
    <x v="4"/>
    <m/>
    <x v="7"/>
  </r>
  <r>
    <x v="8"/>
    <m/>
    <x v="4"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A4B899-09D9-E44A-917E-AE661C3FDE02}" name="PivotTable2" cacheId="8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J33:S44" firstHeaderRow="1" firstDataRow="2" firstDataCol="1"/>
  <pivotFields count="5">
    <pivotField axis="axisRow" showAll="0">
      <items count="10">
        <item x="6"/>
        <item x="0"/>
        <item x="2"/>
        <item x="1"/>
        <item x="5"/>
        <item x="3"/>
        <item x="4"/>
        <item x="8"/>
        <item x="7"/>
        <item t="default"/>
      </items>
    </pivotField>
    <pivotField showAll="0"/>
    <pivotField showAll="0"/>
    <pivotField dataField="1" showAll="0"/>
    <pivotField axis="axisCol" showAll="0">
      <items count="9">
        <item x="0"/>
        <item x="2"/>
        <item x="3"/>
        <item x="1"/>
        <item x="4"/>
        <item x="7"/>
        <item x="5"/>
        <item x="6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Unit" fld="3" baseField="0" baseItem="0"/>
  </dataFields>
  <formats count="3">
    <format dxfId="56">
      <pivotArea dataOnly="0" labelOnly="1" fieldPosition="0">
        <references count="1">
          <reference field="4" count="5">
            <x v="0"/>
            <x v="1"/>
            <x v="2"/>
            <x v="3"/>
            <x v="4"/>
          </reference>
        </references>
      </pivotArea>
    </format>
    <format dxfId="55">
      <pivotArea collapsedLevelsAreSubtotals="1" fieldPosition="0">
        <references count="2">
          <reference field="0" count="1">
            <x v="1"/>
          </reference>
          <reference field="4" count="1" selected="0">
            <x v="0"/>
          </reference>
        </references>
      </pivotArea>
    </format>
    <format dxfId="54">
      <pivotArea field="0" grandCol="1" collapsedLevelsAreSubtotals="1" axis="axisRow" fieldPosition="0">
        <references count="1">
          <reference field="0" count="1">
            <x v="1"/>
          </reference>
        </references>
      </pivotArea>
    </format>
  </formats>
  <chartFormats count="9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1157A-AD5F-B64A-8B92-5E4552FCE71A}" name="PivotTable1" cacheId="8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J11:T31" firstHeaderRow="1" firstDataRow="2" firstDataCol="1"/>
  <pivotFields count="5">
    <pivotField axis="axisCol" showAll="0">
      <items count="10">
        <item x="0"/>
        <item x="2"/>
        <item x="1"/>
        <item x="3"/>
        <item x="4"/>
        <item x="8"/>
        <item x="6"/>
        <item x="5"/>
        <item x="7"/>
        <item t="default"/>
      </items>
    </pivotField>
    <pivotField showAll="0"/>
    <pivotField axis="axisRow" showAll="0">
      <items count="6">
        <item x="1"/>
        <item x="3"/>
        <item x="2"/>
        <item x="0"/>
        <item x="4"/>
        <item t="default"/>
      </items>
    </pivotField>
    <pivotField dataField="1" showAll="0"/>
    <pivotField axis="axisRow" showAll="0">
      <items count="9">
        <item x="0"/>
        <item x="2"/>
        <item x="3"/>
        <item x="1"/>
        <item x="7"/>
        <item x="4"/>
        <item x="5"/>
        <item x="6"/>
        <item t="default"/>
      </items>
    </pivotField>
  </pivotFields>
  <rowFields count="2">
    <field x="2"/>
    <field x="4"/>
  </rowFields>
  <rowItems count="19">
    <i>
      <x/>
    </i>
    <i r="1">
      <x/>
    </i>
    <i r="1">
      <x v="2"/>
    </i>
    <i r="1">
      <x v="3"/>
    </i>
    <i>
      <x v="1"/>
    </i>
    <i r="1">
      <x v="3"/>
    </i>
    <i>
      <x v="2"/>
    </i>
    <i r="1">
      <x/>
    </i>
    <i r="1">
      <x v="1"/>
    </i>
    <i r="1">
      <x v="3"/>
    </i>
    <i r="1">
      <x v="5"/>
    </i>
    <i>
      <x v="3"/>
    </i>
    <i r="1">
      <x/>
    </i>
    <i r="1">
      <x v="3"/>
    </i>
    <i r="1">
      <x v="6"/>
    </i>
    <i r="1">
      <x v="7"/>
    </i>
    <i>
      <x v="4"/>
    </i>
    <i r="1">
      <x v="4"/>
    </i>
    <i t="grand">
      <x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Unit" fld="3" baseField="0" baseItem="0"/>
  </dataFields>
  <formats count="3">
    <format dxfId="59">
      <pivotArea dataOnly="0" labelOnly="1" fieldPosition="0">
        <references count="1">
          <reference field="0" count="5">
            <x v="0"/>
            <x v="1"/>
            <x v="2"/>
            <x v="3"/>
            <x v="4"/>
          </reference>
        </references>
      </pivotArea>
    </format>
    <format dxfId="58">
      <pivotArea dataOnly="0" labelOnly="1" fieldPosition="0">
        <references count="1">
          <reference field="0" count="5">
            <x v="0"/>
            <x v="1"/>
            <x v="2"/>
            <x v="3"/>
            <x v="4"/>
          </reference>
        </references>
      </pivotArea>
    </format>
    <format dxfId="57">
      <pivotArea outline="0" collapsedLevelsAreSubtotals="1" fieldPosition="0">
        <references count="1">
          <reference field="0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412A0-C8C9-E141-A34E-0E97E3B5BFAE}">
  <dimension ref="A1:T68"/>
  <sheetViews>
    <sheetView tabSelected="1" workbookViewId="0">
      <pane xSplit="1" ySplit="1" topLeftCell="B36" activePane="bottomRight" state="frozen"/>
      <selection pane="topRight" activeCell="B1" sqref="B1"/>
      <selection pane="bottomLeft" activeCell="A2" sqref="A2"/>
      <selection pane="bottomRight" activeCell="F63" sqref="F63"/>
    </sheetView>
  </sheetViews>
  <sheetFormatPr baseColWidth="10" defaultRowHeight="16" x14ac:dyDescent="0.2"/>
  <cols>
    <col min="5" max="5" width="21.33203125" customWidth="1"/>
    <col min="10" max="10" width="19.5" bestFit="1" customWidth="1"/>
    <col min="11" max="11" width="15.5" bestFit="1" customWidth="1"/>
    <col min="12" max="12" width="8.1640625" bestFit="1" customWidth="1"/>
    <col min="13" max="13" width="9.1640625" bestFit="1" customWidth="1"/>
    <col min="14" max="14" width="6.83203125" bestFit="1" customWidth="1"/>
    <col min="15" max="15" width="4.5" bestFit="1" customWidth="1"/>
    <col min="16" max="16" width="7" bestFit="1" customWidth="1"/>
    <col min="17" max="17" width="5.83203125" bestFit="1" customWidth="1"/>
    <col min="18" max="18" width="4.5" bestFit="1" customWidth="1"/>
    <col min="19" max="19" width="6.1640625" bestFit="1" customWidth="1"/>
    <col min="20" max="20" width="12.1640625" bestFit="1" customWidth="1"/>
  </cols>
  <sheetData>
    <row r="1" spans="1:20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18</v>
      </c>
    </row>
    <row r="2" spans="1:20" x14ac:dyDescent="0.2">
      <c r="A2" t="s">
        <v>4</v>
      </c>
      <c r="B2" s="2">
        <v>45819</v>
      </c>
      <c r="C2" t="s">
        <v>5</v>
      </c>
      <c r="D2">
        <v>5.4670000000000003E-2</v>
      </c>
      <c r="E2" t="s">
        <v>6</v>
      </c>
    </row>
    <row r="3" spans="1:20" x14ac:dyDescent="0.2">
      <c r="A3" t="s">
        <v>7</v>
      </c>
      <c r="B3" s="2">
        <v>45819</v>
      </c>
      <c r="C3" t="s">
        <v>8</v>
      </c>
      <c r="D3">
        <v>1.903</v>
      </c>
      <c r="E3" t="s">
        <v>9</v>
      </c>
    </row>
    <row r="4" spans="1:20" x14ac:dyDescent="0.2">
      <c r="A4" t="s">
        <v>7</v>
      </c>
      <c r="B4" s="2">
        <v>45819</v>
      </c>
      <c r="C4" t="s">
        <v>10</v>
      </c>
      <c r="D4">
        <v>35.86</v>
      </c>
      <c r="E4" t="s">
        <v>9</v>
      </c>
    </row>
    <row r="5" spans="1:20" x14ac:dyDescent="0.2">
      <c r="A5" t="s">
        <v>7</v>
      </c>
      <c r="B5" s="2">
        <v>45819</v>
      </c>
      <c r="C5" t="s">
        <v>11</v>
      </c>
      <c r="D5">
        <v>0.75700000000000001</v>
      </c>
      <c r="E5" t="s">
        <v>9</v>
      </c>
    </row>
    <row r="6" spans="1:20" x14ac:dyDescent="0.2">
      <c r="A6" t="s">
        <v>12</v>
      </c>
      <c r="B6" s="2">
        <v>45819</v>
      </c>
      <c r="C6" t="s">
        <v>10</v>
      </c>
      <c r="D6">
        <v>513.36</v>
      </c>
      <c r="E6" t="s">
        <v>13</v>
      </c>
    </row>
    <row r="7" spans="1:20" x14ac:dyDescent="0.2">
      <c r="A7" t="s">
        <v>14</v>
      </c>
      <c r="B7" s="2">
        <v>45819</v>
      </c>
      <c r="C7" t="s">
        <v>8</v>
      </c>
      <c r="D7">
        <v>4655</v>
      </c>
      <c r="E7" t="s">
        <v>15</v>
      </c>
    </row>
    <row r="8" spans="1:20" x14ac:dyDescent="0.2">
      <c r="A8" t="s">
        <v>14</v>
      </c>
      <c r="B8" s="2">
        <v>45819</v>
      </c>
      <c r="C8" t="s">
        <v>8</v>
      </c>
      <c r="D8">
        <v>82</v>
      </c>
      <c r="E8" t="s">
        <v>6</v>
      </c>
    </row>
    <row r="9" spans="1:20" x14ac:dyDescent="0.2">
      <c r="A9" t="s">
        <v>14</v>
      </c>
      <c r="B9" s="2">
        <v>45819</v>
      </c>
      <c r="C9" t="s">
        <v>10</v>
      </c>
      <c r="D9">
        <v>213</v>
      </c>
      <c r="E9" t="s">
        <v>6</v>
      </c>
    </row>
    <row r="10" spans="1:20" x14ac:dyDescent="0.2">
      <c r="A10" t="s">
        <v>14</v>
      </c>
      <c r="B10" s="2">
        <v>45819</v>
      </c>
      <c r="C10" t="s">
        <v>5</v>
      </c>
      <c r="D10">
        <v>6183</v>
      </c>
      <c r="E10" t="s">
        <v>6</v>
      </c>
    </row>
    <row r="11" spans="1:20" x14ac:dyDescent="0.2">
      <c r="A11" t="s">
        <v>4</v>
      </c>
      <c r="B11" s="2">
        <v>45832</v>
      </c>
      <c r="C11" t="s">
        <v>5</v>
      </c>
      <c r="D11">
        <v>-5.4670000000000003E-2</v>
      </c>
      <c r="E11" t="s">
        <v>6</v>
      </c>
      <c r="J11" s="6" t="s">
        <v>27</v>
      </c>
      <c r="K11" s="6" t="s">
        <v>26</v>
      </c>
    </row>
    <row r="12" spans="1:20" x14ac:dyDescent="0.2">
      <c r="A12" t="s">
        <v>14</v>
      </c>
      <c r="B12" s="2">
        <v>45832</v>
      </c>
      <c r="C12" t="s">
        <v>5</v>
      </c>
      <c r="D12">
        <v>5741</v>
      </c>
      <c r="E12" t="s">
        <v>6</v>
      </c>
      <c r="J12" s="6" t="s">
        <v>23</v>
      </c>
      <c r="K12" s="10" t="s">
        <v>4</v>
      </c>
      <c r="L12" s="10" t="s">
        <v>12</v>
      </c>
      <c r="M12" s="10" t="s">
        <v>7</v>
      </c>
      <c r="N12" s="10" t="s">
        <v>14</v>
      </c>
      <c r="O12" s="10" t="s">
        <v>21</v>
      </c>
      <c r="P12" t="s">
        <v>24</v>
      </c>
      <c r="Q12" t="s">
        <v>29</v>
      </c>
      <c r="R12" t="s">
        <v>28</v>
      </c>
      <c r="S12" t="s">
        <v>32</v>
      </c>
      <c r="T12" t="s">
        <v>25</v>
      </c>
    </row>
    <row r="13" spans="1:20" x14ac:dyDescent="0.2">
      <c r="A13" t="s">
        <v>7</v>
      </c>
      <c r="B13" s="2">
        <v>45834</v>
      </c>
      <c r="C13" t="s">
        <v>10</v>
      </c>
      <c r="D13">
        <v>-10</v>
      </c>
      <c r="E13" t="s">
        <v>9</v>
      </c>
      <c r="J13" s="7" t="s">
        <v>8</v>
      </c>
      <c r="K13" s="13"/>
      <c r="L13" s="8"/>
      <c r="M13" s="8">
        <v>3.069</v>
      </c>
      <c r="N13" s="8">
        <v>5057</v>
      </c>
      <c r="O13" s="8">
        <v>0</v>
      </c>
      <c r="P13" s="8"/>
      <c r="Q13" s="8">
        <v>0</v>
      </c>
      <c r="R13" s="8">
        <v>0</v>
      </c>
      <c r="S13" s="8"/>
      <c r="T13" s="8">
        <v>5060.0690000000004</v>
      </c>
    </row>
    <row r="14" spans="1:20" x14ac:dyDescent="0.2">
      <c r="A14" t="s">
        <v>12</v>
      </c>
      <c r="B14" s="2">
        <v>45834</v>
      </c>
      <c r="C14" t="s">
        <v>10</v>
      </c>
      <c r="D14">
        <v>905.73</v>
      </c>
      <c r="E14" t="s">
        <v>13</v>
      </c>
      <c r="J14" s="9" t="s">
        <v>6</v>
      </c>
      <c r="K14" s="13"/>
      <c r="L14" s="8"/>
      <c r="M14" s="8"/>
      <c r="N14" s="8">
        <v>82</v>
      </c>
      <c r="O14" s="8"/>
      <c r="P14" s="8"/>
      <c r="Q14" s="8"/>
      <c r="R14" s="8"/>
      <c r="S14" s="8"/>
      <c r="T14" s="8">
        <v>82</v>
      </c>
    </row>
    <row r="15" spans="1:20" x14ac:dyDescent="0.2">
      <c r="A15" t="s">
        <v>14</v>
      </c>
      <c r="B15" s="2">
        <v>45840</v>
      </c>
      <c r="C15" t="s">
        <v>5</v>
      </c>
      <c r="D15">
        <v>-4000</v>
      </c>
      <c r="E15" t="s">
        <v>6</v>
      </c>
      <c r="F15" t="s">
        <v>19</v>
      </c>
      <c r="J15" s="9" t="s">
        <v>15</v>
      </c>
      <c r="K15" s="13"/>
      <c r="L15" s="8"/>
      <c r="M15" s="8"/>
      <c r="N15" s="8">
        <v>4975</v>
      </c>
      <c r="O15" s="8">
        <v>0</v>
      </c>
      <c r="P15" s="8"/>
      <c r="Q15" s="8">
        <v>0</v>
      </c>
      <c r="R15" s="8">
        <v>0</v>
      </c>
      <c r="S15" s="8"/>
      <c r="T15" s="8">
        <v>4975</v>
      </c>
    </row>
    <row r="16" spans="1:20" x14ac:dyDescent="0.2">
      <c r="A16" t="s">
        <v>7</v>
      </c>
      <c r="B16" s="2">
        <v>45844</v>
      </c>
      <c r="C16" t="s">
        <v>10</v>
      </c>
      <c r="D16">
        <v>-6.58</v>
      </c>
      <c r="E16" t="s">
        <v>9</v>
      </c>
      <c r="J16" s="9" t="s">
        <v>9</v>
      </c>
      <c r="K16" s="13"/>
      <c r="L16" s="8"/>
      <c r="M16" s="8">
        <v>3.069</v>
      </c>
      <c r="N16" s="8"/>
      <c r="O16" s="8"/>
      <c r="P16" s="8"/>
      <c r="Q16" s="8"/>
      <c r="R16" s="8"/>
      <c r="S16" s="8"/>
      <c r="T16" s="8">
        <v>3.069</v>
      </c>
    </row>
    <row r="17" spans="1:20" x14ac:dyDescent="0.2">
      <c r="A17" t="s">
        <v>4</v>
      </c>
      <c r="B17" s="2">
        <v>45844</v>
      </c>
      <c r="C17" t="s">
        <v>10</v>
      </c>
      <c r="D17">
        <v>0.20372999999999999</v>
      </c>
      <c r="E17" t="s">
        <v>6</v>
      </c>
      <c r="F17" t="s">
        <v>20</v>
      </c>
      <c r="J17" s="7" t="s">
        <v>11</v>
      </c>
      <c r="K17" s="13"/>
      <c r="L17" s="8"/>
      <c r="M17" s="8">
        <v>0.75700000000000001</v>
      </c>
      <c r="N17" s="8"/>
      <c r="O17" s="8"/>
      <c r="P17" s="8"/>
      <c r="Q17" s="8"/>
      <c r="R17" s="8"/>
      <c r="S17" s="8"/>
      <c r="T17" s="8">
        <v>0.75700000000000001</v>
      </c>
    </row>
    <row r="18" spans="1:20" x14ac:dyDescent="0.2">
      <c r="A18" t="s">
        <v>7</v>
      </c>
      <c r="B18" s="2">
        <v>45848</v>
      </c>
      <c r="C18" t="s">
        <v>10</v>
      </c>
      <c r="D18">
        <v>-5</v>
      </c>
      <c r="E18" t="s">
        <v>9</v>
      </c>
      <c r="J18" s="9" t="s">
        <v>9</v>
      </c>
      <c r="K18" s="13"/>
      <c r="L18" s="8"/>
      <c r="M18" s="8">
        <v>0.75700000000000001</v>
      </c>
      <c r="N18" s="8"/>
      <c r="O18" s="8"/>
      <c r="P18" s="8"/>
      <c r="Q18" s="8"/>
      <c r="R18" s="8"/>
      <c r="S18" s="8"/>
      <c r="T18" s="8">
        <v>0.75700000000000001</v>
      </c>
    </row>
    <row r="19" spans="1:20" x14ac:dyDescent="0.2">
      <c r="A19" t="s">
        <v>4</v>
      </c>
      <c r="B19" s="2">
        <v>45848</v>
      </c>
      <c r="C19" t="s">
        <v>10</v>
      </c>
      <c r="D19">
        <v>0.14499999999999999</v>
      </c>
      <c r="E19" t="s">
        <v>6</v>
      </c>
      <c r="J19" s="7" t="s">
        <v>10</v>
      </c>
      <c r="K19" s="13">
        <v>-2.7755575615628914E-17</v>
      </c>
      <c r="L19" s="8">
        <v>1419.0900000000001</v>
      </c>
      <c r="M19" s="8">
        <v>22.890169999999998</v>
      </c>
      <c r="N19" s="8">
        <v>5070</v>
      </c>
      <c r="O19" s="8">
        <v>0</v>
      </c>
      <c r="P19" s="8"/>
      <c r="Q19" s="8"/>
      <c r="R19" s="8"/>
      <c r="S19" s="8"/>
      <c r="T19" s="8">
        <v>6511.9801699999989</v>
      </c>
    </row>
    <row r="20" spans="1:20" x14ac:dyDescent="0.2">
      <c r="A20" s="4" t="s">
        <v>14</v>
      </c>
      <c r="B20" s="5">
        <v>45848</v>
      </c>
      <c r="C20" s="4" t="s">
        <v>5</v>
      </c>
      <c r="D20" s="4">
        <v>-7924</v>
      </c>
      <c r="E20" s="4" t="s">
        <v>6</v>
      </c>
      <c r="J20" s="9" t="s">
        <v>6</v>
      </c>
      <c r="K20" s="13">
        <v>-2.7755575615628914E-17</v>
      </c>
      <c r="L20" s="8"/>
      <c r="M20" s="8"/>
      <c r="N20" s="8">
        <v>-13857</v>
      </c>
      <c r="O20" s="8">
        <v>0</v>
      </c>
      <c r="P20" s="8"/>
      <c r="Q20" s="8"/>
      <c r="R20" s="8"/>
      <c r="S20" s="8"/>
      <c r="T20" s="8">
        <v>-13857</v>
      </c>
    </row>
    <row r="21" spans="1:20" x14ac:dyDescent="0.2">
      <c r="A21" t="s">
        <v>21</v>
      </c>
      <c r="B21" s="5">
        <v>45848</v>
      </c>
      <c r="C21" s="4" t="s">
        <v>5</v>
      </c>
      <c r="D21" s="4">
        <v>3288</v>
      </c>
      <c r="E21" s="4" t="s">
        <v>6</v>
      </c>
      <c r="J21" s="9" t="s">
        <v>13</v>
      </c>
      <c r="K21" s="13"/>
      <c r="L21" s="8">
        <v>1419.0900000000001</v>
      </c>
      <c r="M21" s="8"/>
      <c r="N21" s="8"/>
      <c r="O21" s="8">
        <v>0</v>
      </c>
      <c r="P21" s="8"/>
      <c r="Q21" s="8"/>
      <c r="R21" s="8"/>
      <c r="S21" s="8"/>
      <c r="T21" s="8">
        <v>1419.0900000000001</v>
      </c>
    </row>
    <row r="22" spans="1:20" x14ac:dyDescent="0.2">
      <c r="A22" t="s">
        <v>14</v>
      </c>
      <c r="B22" s="2">
        <v>45851</v>
      </c>
      <c r="C22" t="s">
        <v>8</v>
      </c>
      <c r="D22">
        <v>-4655</v>
      </c>
      <c r="E22" t="s">
        <v>15</v>
      </c>
      <c r="J22" s="9" t="s">
        <v>9</v>
      </c>
      <c r="K22" s="13"/>
      <c r="L22" s="8"/>
      <c r="M22" s="8">
        <v>22.890169999999998</v>
      </c>
      <c r="N22" s="8">
        <v>18927</v>
      </c>
      <c r="O22" s="8"/>
      <c r="P22" s="8"/>
      <c r="Q22" s="8"/>
      <c r="R22" s="8"/>
      <c r="S22" s="8"/>
      <c r="T22" s="8">
        <v>18949.890169999999</v>
      </c>
    </row>
    <row r="23" spans="1:20" x14ac:dyDescent="0.2">
      <c r="A23" t="s">
        <v>21</v>
      </c>
      <c r="B23" s="2">
        <v>45851</v>
      </c>
      <c r="C23" t="s">
        <v>8</v>
      </c>
      <c r="D23">
        <v>1679</v>
      </c>
      <c r="E23" t="s">
        <v>15</v>
      </c>
      <c r="J23" s="9" t="s">
        <v>30</v>
      </c>
      <c r="K23" s="13">
        <v>0</v>
      </c>
      <c r="L23" s="8"/>
      <c r="M23" s="8"/>
      <c r="N23" s="8"/>
      <c r="O23" s="8">
        <v>0</v>
      </c>
      <c r="P23" s="8"/>
      <c r="Q23" s="8"/>
      <c r="R23" s="8"/>
      <c r="S23" s="8"/>
      <c r="T23" s="8">
        <v>0</v>
      </c>
    </row>
    <row r="24" spans="1:20" x14ac:dyDescent="0.2">
      <c r="A24" t="s">
        <v>7</v>
      </c>
      <c r="B24" s="2">
        <v>45854</v>
      </c>
      <c r="C24" t="s">
        <v>10</v>
      </c>
      <c r="D24">
        <v>-3.9</v>
      </c>
      <c r="E24" t="s">
        <v>9</v>
      </c>
      <c r="F24" t="s">
        <v>22</v>
      </c>
      <c r="J24" s="7" t="s">
        <v>5</v>
      </c>
      <c r="K24" s="13">
        <v>0</v>
      </c>
      <c r="L24" s="8"/>
      <c r="M24" s="8"/>
      <c r="N24" s="8">
        <v>10418</v>
      </c>
      <c r="O24" s="8">
        <v>0</v>
      </c>
      <c r="P24" s="8"/>
      <c r="Q24" s="8"/>
      <c r="R24" s="8"/>
      <c r="S24" s="8">
        <v>13590</v>
      </c>
      <c r="T24" s="8">
        <v>24008</v>
      </c>
    </row>
    <row r="25" spans="1:20" x14ac:dyDescent="0.2">
      <c r="A25" t="s">
        <v>21</v>
      </c>
      <c r="B25" s="2">
        <v>45854</v>
      </c>
      <c r="C25" t="s">
        <v>10</v>
      </c>
      <c r="D25">
        <v>4424</v>
      </c>
      <c r="E25" t="s">
        <v>6</v>
      </c>
      <c r="F25" t="s">
        <v>22</v>
      </c>
      <c r="J25" s="9" t="s">
        <v>6</v>
      </c>
      <c r="K25" s="13">
        <v>0</v>
      </c>
      <c r="L25" s="8"/>
      <c r="M25" s="8"/>
      <c r="N25" s="8">
        <v>0</v>
      </c>
      <c r="O25" s="8">
        <v>0</v>
      </c>
      <c r="P25" s="8"/>
      <c r="Q25" s="8"/>
      <c r="R25" s="8"/>
      <c r="S25" s="8"/>
      <c r="T25" s="8">
        <v>0</v>
      </c>
    </row>
    <row r="26" spans="1:20" x14ac:dyDescent="0.2">
      <c r="A26" t="s">
        <v>21</v>
      </c>
      <c r="B26" s="2">
        <v>45851</v>
      </c>
      <c r="C26" t="s">
        <v>8</v>
      </c>
      <c r="D26">
        <v>-1679</v>
      </c>
      <c r="E26" t="s">
        <v>15</v>
      </c>
      <c r="J26" s="9" t="s">
        <v>9</v>
      </c>
      <c r="K26" s="13"/>
      <c r="L26" s="8"/>
      <c r="M26" s="8"/>
      <c r="N26" s="8">
        <v>10418</v>
      </c>
      <c r="O26" s="8"/>
      <c r="P26" s="8"/>
      <c r="Q26" s="8"/>
      <c r="R26" s="8"/>
      <c r="S26" s="8"/>
      <c r="T26" s="8">
        <v>10418</v>
      </c>
    </row>
    <row r="27" spans="1:20" x14ac:dyDescent="0.2">
      <c r="A27" t="s">
        <v>28</v>
      </c>
      <c r="B27" s="2">
        <v>45856</v>
      </c>
      <c r="C27" t="s">
        <v>8</v>
      </c>
      <c r="D27">
        <v>16789</v>
      </c>
      <c r="E27" t="s">
        <v>15</v>
      </c>
      <c r="J27" s="9" t="s">
        <v>34</v>
      </c>
      <c r="K27" s="13"/>
      <c r="L27" s="8"/>
      <c r="M27" s="8"/>
      <c r="N27" s="8"/>
      <c r="O27" s="8"/>
      <c r="P27" s="8"/>
      <c r="Q27" s="8"/>
      <c r="R27" s="8"/>
      <c r="S27" s="8">
        <v>11594</v>
      </c>
      <c r="T27" s="8">
        <v>11594</v>
      </c>
    </row>
    <row r="28" spans="1:20" x14ac:dyDescent="0.2">
      <c r="A28" t="s">
        <v>21</v>
      </c>
      <c r="B28" s="5">
        <v>45848</v>
      </c>
      <c r="C28" s="4" t="s">
        <v>5</v>
      </c>
      <c r="D28" s="4">
        <v>-3288</v>
      </c>
      <c r="E28" s="4" t="s">
        <v>6</v>
      </c>
      <c r="J28" s="9" t="s">
        <v>35</v>
      </c>
      <c r="K28" s="13"/>
      <c r="L28" s="8"/>
      <c r="M28" s="8"/>
      <c r="N28" s="8"/>
      <c r="O28" s="8"/>
      <c r="P28" s="8"/>
      <c r="Q28" s="8"/>
      <c r="R28" s="8"/>
      <c r="S28" s="8">
        <v>1996</v>
      </c>
      <c r="T28" s="8">
        <v>1996</v>
      </c>
    </row>
    <row r="29" spans="1:20" x14ac:dyDescent="0.2">
      <c r="A29" t="s">
        <v>14</v>
      </c>
      <c r="B29" s="2">
        <v>45855</v>
      </c>
      <c r="C29" s="4" t="s">
        <v>5</v>
      </c>
      <c r="D29" s="4">
        <v>10873</v>
      </c>
      <c r="E29" s="4" t="s">
        <v>6</v>
      </c>
      <c r="J29" s="7" t="s">
        <v>24</v>
      </c>
      <c r="K29" s="13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2">
      <c r="A30" t="s">
        <v>21</v>
      </c>
      <c r="B30" s="2">
        <v>45854</v>
      </c>
      <c r="C30" t="s">
        <v>10</v>
      </c>
      <c r="D30">
        <v>-4424</v>
      </c>
      <c r="E30" t="s">
        <v>6</v>
      </c>
      <c r="J30" s="9" t="s">
        <v>24</v>
      </c>
      <c r="K30" s="13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2">
      <c r="A31" t="s">
        <v>14</v>
      </c>
      <c r="B31" s="2">
        <v>45855</v>
      </c>
      <c r="C31" t="s">
        <v>10</v>
      </c>
      <c r="D31">
        <v>15015</v>
      </c>
      <c r="E31" t="s">
        <v>6</v>
      </c>
      <c r="J31" s="7" t="s">
        <v>25</v>
      </c>
      <c r="K31" s="13">
        <v>-2.7755575615628914E-17</v>
      </c>
      <c r="L31" s="8">
        <v>1419.0900000000001</v>
      </c>
      <c r="M31" s="8">
        <v>26.716169999999998</v>
      </c>
      <c r="N31" s="8">
        <v>20545</v>
      </c>
      <c r="O31" s="8">
        <v>0</v>
      </c>
      <c r="P31" s="8"/>
      <c r="Q31" s="8">
        <v>0</v>
      </c>
      <c r="R31" s="8">
        <v>0</v>
      </c>
      <c r="S31" s="8">
        <v>13590</v>
      </c>
      <c r="T31" s="8">
        <v>35580.806169999996</v>
      </c>
    </row>
    <row r="32" spans="1:20" x14ac:dyDescent="0.2">
      <c r="A32" t="s">
        <v>14</v>
      </c>
      <c r="B32" s="2">
        <v>45856</v>
      </c>
      <c r="C32" t="s">
        <v>10</v>
      </c>
      <c r="D32">
        <v>-15015</v>
      </c>
      <c r="E32" t="s">
        <v>6</v>
      </c>
    </row>
    <row r="33" spans="1:19" x14ac:dyDescent="0.2">
      <c r="A33" t="s">
        <v>4</v>
      </c>
      <c r="B33" s="2">
        <v>45856</v>
      </c>
      <c r="C33" t="s">
        <v>10</v>
      </c>
      <c r="D33">
        <f>0.12472-0.00048</f>
        <v>0.12424</v>
      </c>
      <c r="E33" t="s">
        <v>6</v>
      </c>
      <c r="J33" s="6" t="s">
        <v>27</v>
      </c>
      <c r="K33" s="6" t="s">
        <v>26</v>
      </c>
    </row>
    <row r="34" spans="1:19" x14ac:dyDescent="0.2">
      <c r="A34" t="s">
        <v>4</v>
      </c>
      <c r="B34" s="2">
        <v>45856</v>
      </c>
      <c r="C34" t="s">
        <v>10</v>
      </c>
      <c r="D34">
        <v>-0.34838000000000002</v>
      </c>
      <c r="E34" t="s">
        <v>6</v>
      </c>
      <c r="J34" s="6" t="s">
        <v>23</v>
      </c>
      <c r="K34" s="11" t="s">
        <v>6</v>
      </c>
      <c r="L34" s="11" t="s">
        <v>13</v>
      </c>
      <c r="M34" s="11" t="s">
        <v>15</v>
      </c>
      <c r="N34" s="11" t="s">
        <v>9</v>
      </c>
      <c r="O34" s="11" t="s">
        <v>30</v>
      </c>
      <c r="P34" t="s">
        <v>24</v>
      </c>
      <c r="Q34" t="s">
        <v>34</v>
      </c>
      <c r="R34" t="s">
        <v>35</v>
      </c>
      <c r="S34" t="s">
        <v>25</v>
      </c>
    </row>
    <row r="35" spans="1:19" x14ac:dyDescent="0.2">
      <c r="A35" t="s">
        <v>14</v>
      </c>
      <c r="B35" s="2">
        <v>45856</v>
      </c>
      <c r="C35" t="s">
        <v>10</v>
      </c>
      <c r="D35">
        <v>40855</v>
      </c>
      <c r="E35" t="s">
        <v>6</v>
      </c>
      <c r="J35" s="7" t="s">
        <v>29</v>
      </c>
      <c r="K35" s="8"/>
      <c r="L35" s="8"/>
      <c r="M35" s="8">
        <v>0</v>
      </c>
      <c r="N35" s="8"/>
      <c r="O35" s="8"/>
      <c r="P35" s="8"/>
      <c r="Q35" s="8"/>
      <c r="R35" s="8"/>
      <c r="S35" s="8">
        <v>0</v>
      </c>
    </row>
    <row r="36" spans="1:19" x14ac:dyDescent="0.2">
      <c r="A36" s="4" t="s">
        <v>14</v>
      </c>
      <c r="B36" s="5">
        <v>45858</v>
      </c>
      <c r="C36" s="4" t="s">
        <v>10</v>
      </c>
      <c r="D36" s="4">
        <v>-20000</v>
      </c>
      <c r="E36" s="4" t="s">
        <v>6</v>
      </c>
      <c r="F36" s="4"/>
      <c r="J36" s="7" t="s">
        <v>4</v>
      </c>
      <c r="K36" s="13">
        <v>-2.7755575615628914E-17</v>
      </c>
      <c r="L36" s="8"/>
      <c r="M36" s="8"/>
      <c r="N36" s="8"/>
      <c r="O36" s="8">
        <v>0</v>
      </c>
      <c r="P36" s="8"/>
      <c r="Q36" s="8"/>
      <c r="R36" s="8"/>
      <c r="S36" s="13">
        <v>-2.7755575615628914E-17</v>
      </c>
    </row>
    <row r="37" spans="1:19" x14ac:dyDescent="0.2">
      <c r="A37" s="4" t="s">
        <v>21</v>
      </c>
      <c r="B37" s="5">
        <v>45858</v>
      </c>
      <c r="C37" s="4" t="s">
        <v>10</v>
      </c>
      <c r="D37" s="4">
        <v>5698</v>
      </c>
      <c r="E37" s="4" t="s">
        <v>6</v>
      </c>
      <c r="F37" s="4"/>
      <c r="J37" s="7" t="s">
        <v>12</v>
      </c>
      <c r="K37" s="8"/>
      <c r="L37" s="8">
        <v>1419.0900000000001</v>
      </c>
      <c r="M37" s="8"/>
      <c r="N37" s="8"/>
      <c r="O37" s="8"/>
      <c r="P37" s="8"/>
      <c r="Q37" s="8"/>
      <c r="R37" s="8"/>
      <c r="S37" s="8">
        <v>1419.0900000000001</v>
      </c>
    </row>
    <row r="38" spans="1:19" x14ac:dyDescent="0.2">
      <c r="A38" s="4" t="s">
        <v>14</v>
      </c>
      <c r="B38" s="5">
        <v>45859</v>
      </c>
      <c r="C38" s="4" t="s">
        <v>10</v>
      </c>
      <c r="D38" s="4">
        <v>-21068</v>
      </c>
      <c r="E38" s="4" t="s">
        <v>6</v>
      </c>
      <c r="F38" s="4"/>
      <c r="J38" s="7" t="s">
        <v>7</v>
      </c>
      <c r="K38" s="8"/>
      <c r="L38" s="8"/>
      <c r="M38" s="8"/>
      <c r="N38" s="8">
        <v>26.716169999999998</v>
      </c>
      <c r="O38" s="8"/>
      <c r="P38" s="8"/>
      <c r="Q38" s="8"/>
      <c r="R38" s="8"/>
      <c r="S38" s="8">
        <v>26.716169999999998</v>
      </c>
    </row>
    <row r="39" spans="1:19" x14ac:dyDescent="0.2">
      <c r="A39" s="4" t="s">
        <v>14</v>
      </c>
      <c r="B39" s="5">
        <v>45859</v>
      </c>
      <c r="C39" s="4" t="s">
        <v>5</v>
      </c>
      <c r="D39" s="4">
        <v>-10873</v>
      </c>
      <c r="E39" s="4" t="s">
        <v>6</v>
      </c>
      <c r="F39" s="4"/>
      <c r="J39" s="7" t="s">
        <v>28</v>
      </c>
      <c r="K39" s="8"/>
      <c r="L39" s="8"/>
      <c r="M39" s="8">
        <v>0</v>
      </c>
      <c r="N39" s="8"/>
      <c r="O39" s="8"/>
      <c r="P39" s="8"/>
      <c r="Q39" s="8"/>
      <c r="R39" s="8"/>
      <c r="S39" s="8">
        <v>0</v>
      </c>
    </row>
    <row r="40" spans="1:19" x14ac:dyDescent="0.2">
      <c r="A40" s="4" t="s">
        <v>21</v>
      </c>
      <c r="B40" s="5">
        <v>45859</v>
      </c>
      <c r="C40" s="4" t="s">
        <v>5</v>
      </c>
      <c r="D40" s="4">
        <f>3128</f>
        <v>3128</v>
      </c>
      <c r="E40" s="4" t="s">
        <v>6</v>
      </c>
      <c r="F40" s="4"/>
      <c r="J40" s="7" t="s">
        <v>14</v>
      </c>
      <c r="K40" s="8">
        <v>-13775</v>
      </c>
      <c r="L40" s="8"/>
      <c r="M40" s="8">
        <v>4975</v>
      </c>
      <c r="N40" s="8">
        <v>29345</v>
      </c>
      <c r="O40" s="8"/>
      <c r="P40" s="8"/>
      <c r="Q40" s="8"/>
      <c r="R40" s="8"/>
      <c r="S40" s="8">
        <v>20545</v>
      </c>
    </row>
    <row r="41" spans="1:19" x14ac:dyDescent="0.2">
      <c r="A41" s="4" t="s">
        <v>21</v>
      </c>
      <c r="B41" s="5">
        <v>45859</v>
      </c>
      <c r="C41" s="4" t="s">
        <v>10</v>
      </c>
      <c r="D41" s="4">
        <v>6000</v>
      </c>
      <c r="E41" s="4" t="s">
        <v>13</v>
      </c>
      <c r="F41" s="4"/>
      <c r="J41" s="7" t="s">
        <v>21</v>
      </c>
      <c r="K41" s="8">
        <v>0</v>
      </c>
      <c r="L41" s="8">
        <v>0</v>
      </c>
      <c r="M41" s="8">
        <v>0</v>
      </c>
      <c r="N41" s="8"/>
      <c r="O41" s="8">
        <v>0</v>
      </c>
      <c r="P41" s="8"/>
      <c r="Q41" s="8"/>
      <c r="R41" s="8"/>
      <c r="S41" s="8">
        <v>0</v>
      </c>
    </row>
    <row r="42" spans="1:19" x14ac:dyDescent="0.2">
      <c r="A42" s="4" t="s">
        <v>28</v>
      </c>
      <c r="B42" s="5">
        <v>45859</v>
      </c>
      <c r="C42" s="4" t="s">
        <v>8</v>
      </c>
      <c r="D42" s="4">
        <v>-16789</v>
      </c>
      <c r="E42" s="4" t="s">
        <v>15</v>
      </c>
      <c r="F42" s="4"/>
      <c r="J42" s="7" t="s">
        <v>24</v>
      </c>
      <c r="K42" s="8"/>
      <c r="L42" s="8"/>
      <c r="M42" s="8"/>
      <c r="N42" s="8"/>
      <c r="O42" s="8"/>
      <c r="P42" s="8"/>
      <c r="Q42" s="8"/>
      <c r="R42" s="8"/>
      <c r="S42" s="8"/>
    </row>
    <row r="43" spans="1:19" x14ac:dyDescent="0.2">
      <c r="A43" s="4" t="s">
        <v>29</v>
      </c>
      <c r="B43" s="5">
        <v>45859</v>
      </c>
      <c r="C43" s="4" t="s">
        <v>8</v>
      </c>
      <c r="D43" s="4">
        <v>17304</v>
      </c>
      <c r="E43" s="4" t="s">
        <v>15</v>
      </c>
      <c r="F43" s="4"/>
      <c r="J43" s="7" t="s">
        <v>32</v>
      </c>
      <c r="K43" s="8"/>
      <c r="L43" s="8"/>
      <c r="M43" s="8"/>
      <c r="N43" s="8"/>
      <c r="O43" s="8"/>
      <c r="P43" s="8"/>
      <c r="Q43" s="8">
        <v>11594</v>
      </c>
      <c r="R43" s="8">
        <v>1996</v>
      </c>
      <c r="S43" s="8">
        <v>13590</v>
      </c>
    </row>
    <row r="44" spans="1:19" x14ac:dyDescent="0.2">
      <c r="A44" s="4" t="s">
        <v>29</v>
      </c>
      <c r="B44" s="5">
        <v>45859</v>
      </c>
      <c r="C44" s="4" t="s">
        <v>8</v>
      </c>
      <c r="D44" s="4">
        <v>-17304</v>
      </c>
      <c r="E44" s="4" t="s">
        <v>15</v>
      </c>
      <c r="F44" s="4"/>
      <c r="J44" s="7" t="s">
        <v>25</v>
      </c>
      <c r="K44" s="8">
        <v>-13775</v>
      </c>
      <c r="L44" s="8">
        <v>1419.0900000000001</v>
      </c>
      <c r="M44" s="8">
        <v>4975</v>
      </c>
      <c r="N44" s="8">
        <v>29371.71617</v>
      </c>
      <c r="O44" s="8">
        <v>0</v>
      </c>
      <c r="P44" s="8"/>
      <c r="Q44" s="8">
        <v>11594</v>
      </c>
      <c r="R44" s="8">
        <v>1996</v>
      </c>
      <c r="S44" s="8">
        <v>35580.806169999996</v>
      </c>
    </row>
    <row r="45" spans="1:19" x14ac:dyDescent="0.2">
      <c r="A45" s="4" t="s">
        <v>14</v>
      </c>
      <c r="B45" s="5">
        <v>45860</v>
      </c>
      <c r="C45" s="4" t="s">
        <v>8</v>
      </c>
      <c r="D45" s="4">
        <v>4975</v>
      </c>
      <c r="E45" s="4" t="s">
        <v>15</v>
      </c>
      <c r="F45" s="4"/>
      <c r="K45">
        <f>K43*17.78</f>
        <v>0</v>
      </c>
      <c r="L45">
        <f>L43*38.2*17.7</f>
        <v>0</v>
      </c>
      <c r="M45">
        <f>M43*17.78</f>
        <v>0</v>
      </c>
      <c r="N45">
        <f>N38*3350*17.7</f>
        <v>1584135.3001499998</v>
      </c>
      <c r="O45">
        <f>O41*3.1*17.7</f>
        <v>0</v>
      </c>
    </row>
    <row r="46" spans="1:19" x14ac:dyDescent="0.2">
      <c r="A46" s="4" t="s">
        <v>21</v>
      </c>
      <c r="B46" s="5">
        <v>45861</v>
      </c>
      <c r="C46" s="4" t="s">
        <v>10</v>
      </c>
      <c r="D46" s="4">
        <v>-5698</v>
      </c>
      <c r="E46" s="4" t="s">
        <v>6</v>
      </c>
      <c r="F46" s="4"/>
      <c r="K46" s="12"/>
      <c r="L46" s="12"/>
      <c r="M46" s="12"/>
      <c r="N46" s="12">
        <f>N40*17.7</f>
        <v>519406.5</v>
      </c>
      <c r="O46" s="12"/>
      <c r="P46" s="12"/>
      <c r="Q46" s="12"/>
    </row>
    <row r="47" spans="1:19" x14ac:dyDescent="0.2">
      <c r="A47" s="4" t="s">
        <v>14</v>
      </c>
      <c r="B47" s="5">
        <v>45861</v>
      </c>
      <c r="C47" s="4" t="s">
        <v>10</v>
      </c>
      <c r="D47" s="4">
        <v>18927</v>
      </c>
      <c r="E47" s="4" t="s">
        <v>9</v>
      </c>
      <c r="F47" s="4"/>
      <c r="K47" s="14">
        <f>SUM(K45:K46)</f>
        <v>0</v>
      </c>
      <c r="L47" s="14">
        <f>SUM(L45:L46)</f>
        <v>0</v>
      </c>
      <c r="M47" s="14">
        <f>SUM(M45:M46)</f>
        <v>0</v>
      </c>
      <c r="N47" s="14">
        <f>SUM(N45:N46)</f>
        <v>2103541.8001499996</v>
      </c>
      <c r="O47" s="14">
        <f>SUM(O45:O46)</f>
        <v>0</v>
      </c>
      <c r="P47" s="14">
        <v>2470000</v>
      </c>
      <c r="Q47" s="14">
        <f>SUM(K47:P47)</f>
        <v>4573541.8001499996</v>
      </c>
    </row>
    <row r="48" spans="1:19" x14ac:dyDescent="0.2">
      <c r="A48" s="4" t="s">
        <v>21</v>
      </c>
      <c r="B48" s="5">
        <v>45861</v>
      </c>
      <c r="C48" s="4" t="s">
        <v>5</v>
      </c>
      <c r="D48" s="4">
        <f>-3128</f>
        <v>-3128</v>
      </c>
      <c r="E48" s="4" t="s">
        <v>6</v>
      </c>
      <c r="F48" s="4"/>
      <c r="K48" s="15">
        <f t="shared" ref="K48:P48" si="0">K47/$Q47</f>
        <v>0</v>
      </c>
      <c r="L48" s="15">
        <f t="shared" si="0"/>
        <v>0</v>
      </c>
      <c r="M48" s="15">
        <f t="shared" si="0"/>
        <v>0</v>
      </c>
      <c r="N48" s="15">
        <f t="shared" si="0"/>
        <v>0.45993715419437275</v>
      </c>
      <c r="O48" s="15">
        <f t="shared" si="0"/>
        <v>0</v>
      </c>
      <c r="P48" s="15">
        <f t="shared" si="0"/>
        <v>0.54006284580562725</v>
      </c>
    </row>
    <row r="49" spans="1:6" x14ac:dyDescent="0.2">
      <c r="A49" s="4" t="s">
        <v>14</v>
      </c>
      <c r="B49" s="5">
        <v>45861</v>
      </c>
      <c r="C49" s="4" t="s">
        <v>5</v>
      </c>
      <c r="D49" s="4">
        <v>10418</v>
      </c>
      <c r="E49" s="4" t="s">
        <v>9</v>
      </c>
      <c r="F49" s="4"/>
    </row>
    <row r="50" spans="1:6" x14ac:dyDescent="0.2">
      <c r="A50" s="4" t="s">
        <v>4</v>
      </c>
      <c r="B50" s="5">
        <v>45861</v>
      </c>
      <c r="C50" s="4" t="s">
        <v>10</v>
      </c>
      <c r="D50" s="4">
        <v>-0.12459000000000001</v>
      </c>
      <c r="E50" s="4" t="s">
        <v>6</v>
      </c>
      <c r="F50" s="4"/>
    </row>
    <row r="51" spans="1:6" x14ac:dyDescent="0.2">
      <c r="A51" s="4" t="s">
        <v>4</v>
      </c>
      <c r="B51" s="5">
        <v>45861</v>
      </c>
      <c r="C51" s="4" t="s">
        <v>10</v>
      </c>
      <c r="D51" s="4">
        <v>0.12459000000000001</v>
      </c>
      <c r="E51" s="4" t="s">
        <v>30</v>
      </c>
    </row>
    <row r="52" spans="1:6" x14ac:dyDescent="0.2">
      <c r="A52" s="4" t="s">
        <v>21</v>
      </c>
      <c r="B52" s="5">
        <v>45863</v>
      </c>
      <c r="C52" s="4" t="s">
        <v>10</v>
      </c>
      <c r="D52" s="4">
        <v>-6000</v>
      </c>
      <c r="E52" s="4" t="s">
        <v>13</v>
      </c>
    </row>
    <row r="53" spans="1:6" x14ac:dyDescent="0.2">
      <c r="A53" s="4" t="s">
        <v>21</v>
      </c>
      <c r="B53" s="5">
        <v>45863</v>
      </c>
      <c r="C53" s="4" t="s">
        <v>10</v>
      </c>
      <c r="D53" s="4">
        <v>6000</v>
      </c>
      <c r="E53" s="4" t="s">
        <v>30</v>
      </c>
    </row>
    <row r="54" spans="1:6" x14ac:dyDescent="0.2">
      <c r="A54" s="4" t="s">
        <v>4</v>
      </c>
      <c r="B54" s="5">
        <v>45863</v>
      </c>
      <c r="C54" s="4" t="s">
        <v>10</v>
      </c>
      <c r="D54" s="4">
        <v>0.12459000000000001</v>
      </c>
      <c r="E54" s="4" t="s">
        <v>6</v>
      </c>
    </row>
    <row r="55" spans="1:6" x14ac:dyDescent="0.2">
      <c r="A55" s="4" t="s">
        <v>4</v>
      </c>
      <c r="B55" s="5">
        <v>45863</v>
      </c>
      <c r="C55" s="4" t="s">
        <v>10</v>
      </c>
      <c r="D55" s="4">
        <v>-0.12459000000000001</v>
      </c>
      <c r="E55" s="4" t="s">
        <v>30</v>
      </c>
    </row>
    <row r="56" spans="1:6" x14ac:dyDescent="0.2">
      <c r="A56" s="4" t="s">
        <v>4</v>
      </c>
      <c r="B56" s="5">
        <v>45863</v>
      </c>
      <c r="C56" s="4" t="s">
        <v>10</v>
      </c>
      <c r="D56" s="4">
        <v>-0.12459000000000001</v>
      </c>
      <c r="E56" s="4" t="s">
        <v>6</v>
      </c>
    </row>
    <row r="57" spans="1:6" x14ac:dyDescent="0.2">
      <c r="A57" s="4" t="s">
        <v>14</v>
      </c>
      <c r="B57" s="5">
        <v>45863</v>
      </c>
      <c r="C57" s="4" t="s">
        <v>10</v>
      </c>
      <c r="D57" s="4">
        <v>14367</v>
      </c>
      <c r="E57" s="4" t="s">
        <v>6</v>
      </c>
    </row>
    <row r="58" spans="1:6" x14ac:dyDescent="0.2">
      <c r="A58" s="4" t="s">
        <v>7</v>
      </c>
      <c r="B58" s="5">
        <v>45870</v>
      </c>
      <c r="C58" s="4" t="s">
        <v>10</v>
      </c>
      <c r="D58" s="4">
        <v>-1.1659999999999999</v>
      </c>
      <c r="E58" s="4" t="s">
        <v>9</v>
      </c>
      <c r="F58" t="s">
        <v>31</v>
      </c>
    </row>
    <row r="59" spans="1:6" x14ac:dyDescent="0.2">
      <c r="A59" t="s">
        <v>7</v>
      </c>
      <c r="B59" s="2">
        <v>45870</v>
      </c>
      <c r="C59" t="s">
        <v>8</v>
      </c>
      <c r="D59">
        <v>1.1659999999999999</v>
      </c>
      <c r="E59" t="s">
        <v>9</v>
      </c>
      <c r="F59" t="s">
        <v>31</v>
      </c>
    </row>
    <row r="60" spans="1:6" x14ac:dyDescent="0.2">
      <c r="A60" s="4" t="s">
        <v>21</v>
      </c>
      <c r="B60" s="5">
        <v>45873</v>
      </c>
      <c r="C60" s="4" t="s">
        <v>10</v>
      </c>
      <c r="D60" s="4">
        <v>-6000</v>
      </c>
      <c r="E60" s="4" t="s">
        <v>30</v>
      </c>
    </row>
    <row r="61" spans="1:6" x14ac:dyDescent="0.2">
      <c r="A61" s="4" t="s">
        <v>14</v>
      </c>
      <c r="B61" s="5">
        <v>45873</v>
      </c>
      <c r="C61" s="4" t="s">
        <v>10</v>
      </c>
      <c r="D61" s="4">
        <v>17965</v>
      </c>
      <c r="E61" s="4" t="s">
        <v>6</v>
      </c>
    </row>
    <row r="62" spans="1:6" x14ac:dyDescent="0.2">
      <c r="A62" s="4" t="s">
        <v>32</v>
      </c>
      <c r="B62" s="5">
        <v>45873</v>
      </c>
      <c r="C62" s="4" t="s">
        <v>5</v>
      </c>
      <c r="D62" s="4">
        <v>11594</v>
      </c>
      <c r="E62" s="4" t="s">
        <v>36</v>
      </c>
      <c r="F62" s="4"/>
    </row>
    <row r="63" spans="1:6" x14ac:dyDescent="0.2">
      <c r="A63" s="4" t="s">
        <v>32</v>
      </c>
      <c r="B63" s="5">
        <v>45873</v>
      </c>
      <c r="C63" s="4" t="s">
        <v>5</v>
      </c>
      <c r="D63" s="4">
        <v>1996</v>
      </c>
      <c r="E63" s="4" t="s">
        <v>35</v>
      </c>
      <c r="F63" s="4" t="s">
        <v>33</v>
      </c>
    </row>
    <row r="64" spans="1:6" x14ac:dyDescent="0.2">
      <c r="A64" s="4" t="s">
        <v>14</v>
      </c>
      <c r="B64" s="5">
        <v>45873</v>
      </c>
      <c r="C64" s="4" t="s">
        <v>10</v>
      </c>
      <c r="D64" s="4">
        <v>-26700</v>
      </c>
      <c r="E64" s="4" t="s">
        <v>6</v>
      </c>
    </row>
    <row r="65" spans="1:5" x14ac:dyDescent="0.2">
      <c r="A65" s="4" t="s">
        <v>7</v>
      </c>
      <c r="B65" s="5">
        <v>45873</v>
      </c>
      <c r="C65" s="4" t="s">
        <v>10</v>
      </c>
      <c r="D65" s="4">
        <f>7.9134-0.01403</f>
        <v>7.8993700000000002</v>
      </c>
      <c r="E65" s="4" t="s">
        <v>9</v>
      </c>
    </row>
    <row r="66" spans="1:5" x14ac:dyDescent="0.2">
      <c r="A66" s="4" t="s">
        <v>14</v>
      </c>
      <c r="B66" s="5">
        <v>45874</v>
      </c>
      <c r="C66" s="4" t="s">
        <v>10</v>
      </c>
      <c r="D66" s="4">
        <v>-19489</v>
      </c>
      <c r="E66" s="4" t="s">
        <v>6</v>
      </c>
    </row>
    <row r="67" spans="1:5" x14ac:dyDescent="0.2">
      <c r="A67" s="4" t="s">
        <v>7</v>
      </c>
      <c r="B67" s="5">
        <v>45874</v>
      </c>
      <c r="C67" s="4" t="s">
        <v>10</v>
      </c>
      <c r="D67" s="4">
        <v>5.7767999999999997</v>
      </c>
      <c r="E67" s="4" t="s">
        <v>9</v>
      </c>
    </row>
    <row r="68" spans="1:5" x14ac:dyDescent="0.2">
      <c r="D68" s="4"/>
    </row>
  </sheetData>
  <autoFilter ref="A1:E61" xr:uid="{2BF877CA-4798-494B-B38E-247D7770ECD8}"/>
  <conditionalFormatting sqref="K48:P4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{21959F80-696A-6F49-93AC-29D3A2B5FB24}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959F80-696A-6F49-93AC-29D3A2B5FB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K48:P48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DE602-0CAA-AB47-B277-4AF99DA6270F}">
  <dimension ref="A1:G17"/>
  <sheetViews>
    <sheetView workbookViewId="0">
      <selection activeCell="G18" sqref="G18"/>
    </sheetView>
  </sheetViews>
  <sheetFormatPr baseColWidth="10" defaultRowHeight="16" x14ac:dyDescent="0.2"/>
  <sheetData>
    <row r="1" spans="1:7" s="3" customFormat="1" x14ac:dyDescent="0.2">
      <c r="A1" s="3" t="s">
        <v>1</v>
      </c>
      <c r="B1" s="3" t="s">
        <v>4</v>
      </c>
      <c r="C1" s="3" t="s">
        <v>7</v>
      </c>
      <c r="D1" s="3" t="s">
        <v>12</v>
      </c>
      <c r="E1" s="3" t="s">
        <v>14</v>
      </c>
      <c r="F1" s="3" t="s">
        <v>17</v>
      </c>
      <c r="G1" s="3" t="s">
        <v>21</v>
      </c>
    </row>
    <row r="2" spans="1:7" x14ac:dyDescent="0.2">
      <c r="A2" s="2">
        <v>45819</v>
      </c>
      <c r="B2">
        <v>105000</v>
      </c>
      <c r="C2">
        <v>3376</v>
      </c>
      <c r="D2">
        <v>36.299999999999997</v>
      </c>
      <c r="E2">
        <v>1</v>
      </c>
      <c r="F2">
        <v>17.8</v>
      </c>
    </row>
    <row r="3" spans="1:7" x14ac:dyDescent="0.2">
      <c r="A3" s="2">
        <v>45827</v>
      </c>
      <c r="B3">
        <v>104000</v>
      </c>
      <c r="C3">
        <v>3390</v>
      </c>
      <c r="D3">
        <v>36.4</v>
      </c>
      <c r="E3">
        <v>1</v>
      </c>
      <c r="F3">
        <v>18</v>
      </c>
    </row>
    <row r="4" spans="1:7" x14ac:dyDescent="0.2">
      <c r="A4" s="2">
        <v>45828</v>
      </c>
      <c r="B4">
        <v>106000</v>
      </c>
      <c r="C4">
        <v>3380</v>
      </c>
      <c r="D4">
        <v>36.200000000000003</v>
      </c>
      <c r="E4">
        <v>1</v>
      </c>
      <c r="F4">
        <v>18</v>
      </c>
    </row>
    <row r="5" spans="1:7" x14ac:dyDescent="0.2">
      <c r="A5" s="2">
        <v>45832</v>
      </c>
      <c r="B5">
        <v>105000</v>
      </c>
      <c r="C5">
        <v>3353</v>
      </c>
      <c r="D5">
        <v>36</v>
      </c>
      <c r="E5">
        <v>1</v>
      </c>
      <c r="F5">
        <v>17.7</v>
      </c>
    </row>
    <row r="6" spans="1:7" x14ac:dyDescent="0.2">
      <c r="A6" s="2">
        <v>45834</v>
      </c>
      <c r="B6">
        <v>107000</v>
      </c>
      <c r="C6">
        <v>3353</v>
      </c>
      <c r="D6">
        <v>36.6</v>
      </c>
      <c r="E6">
        <v>1</v>
      </c>
      <c r="F6">
        <v>17.7</v>
      </c>
    </row>
    <row r="7" spans="1:7" x14ac:dyDescent="0.2">
      <c r="A7" s="2">
        <v>45835</v>
      </c>
      <c r="B7">
        <v>107000</v>
      </c>
      <c r="C7">
        <v>3310</v>
      </c>
      <c r="D7">
        <v>36.4</v>
      </c>
      <c r="E7">
        <v>1</v>
      </c>
      <c r="F7">
        <v>17.8</v>
      </c>
    </row>
    <row r="8" spans="1:7" x14ac:dyDescent="0.2">
      <c r="A8" s="2">
        <v>45836</v>
      </c>
      <c r="B8">
        <v>107000</v>
      </c>
      <c r="C8">
        <v>3290</v>
      </c>
      <c r="D8">
        <v>36.1</v>
      </c>
      <c r="E8">
        <v>1</v>
      </c>
      <c r="F8">
        <v>17.8</v>
      </c>
    </row>
    <row r="9" spans="1:7" x14ac:dyDescent="0.2">
      <c r="A9" s="2">
        <v>45838</v>
      </c>
      <c r="B9">
        <v>107000</v>
      </c>
      <c r="C9">
        <v>3300</v>
      </c>
      <c r="D9">
        <v>36.200000000000003</v>
      </c>
      <c r="E9">
        <v>1</v>
      </c>
      <c r="F9">
        <v>17.75</v>
      </c>
    </row>
    <row r="10" spans="1:7" x14ac:dyDescent="0.2">
      <c r="A10" s="2">
        <v>45839</v>
      </c>
      <c r="B10">
        <v>106000</v>
      </c>
      <c r="C10">
        <v>3340</v>
      </c>
      <c r="D10">
        <v>36.200000000000003</v>
      </c>
      <c r="E10">
        <v>1</v>
      </c>
      <c r="F10">
        <v>17.7</v>
      </c>
    </row>
    <row r="11" spans="1:7" x14ac:dyDescent="0.2">
      <c r="A11" s="2">
        <v>45840</v>
      </c>
      <c r="B11">
        <v>109000</v>
      </c>
      <c r="C11">
        <v>3350</v>
      </c>
      <c r="D11">
        <v>37</v>
      </c>
      <c r="E11">
        <v>1</v>
      </c>
      <c r="F11">
        <v>17.600000000000001</v>
      </c>
    </row>
    <row r="12" spans="1:7" x14ac:dyDescent="0.2">
      <c r="A12" s="2">
        <v>45841</v>
      </c>
      <c r="B12">
        <v>108000</v>
      </c>
      <c r="C12">
        <v>3350</v>
      </c>
      <c r="D12">
        <v>36.9</v>
      </c>
      <c r="E12">
        <v>1</v>
      </c>
      <c r="F12">
        <v>17.5</v>
      </c>
    </row>
    <row r="13" spans="1:7" x14ac:dyDescent="0.2">
      <c r="A13" s="2">
        <v>45842</v>
      </c>
      <c r="B13">
        <v>108000</v>
      </c>
      <c r="C13">
        <v>3340</v>
      </c>
      <c r="D13">
        <v>37</v>
      </c>
      <c r="E13">
        <v>1</v>
      </c>
      <c r="F13">
        <v>17.600000000000001</v>
      </c>
    </row>
    <row r="14" spans="1:7" x14ac:dyDescent="0.2">
      <c r="A14" s="2">
        <v>45843</v>
      </c>
      <c r="B14">
        <v>108000</v>
      </c>
      <c r="C14">
        <v>3340</v>
      </c>
      <c r="D14">
        <v>37</v>
      </c>
      <c r="E14">
        <v>1</v>
      </c>
      <c r="F14">
        <v>17.600000000000001</v>
      </c>
    </row>
    <row r="15" spans="1:7" x14ac:dyDescent="0.2">
      <c r="A15" s="2">
        <v>45844</v>
      </c>
      <c r="B15">
        <v>108000</v>
      </c>
      <c r="C15">
        <v>3340</v>
      </c>
      <c r="D15">
        <v>37</v>
      </c>
      <c r="E15">
        <v>1</v>
      </c>
      <c r="F15">
        <v>17.600000000000001</v>
      </c>
    </row>
    <row r="16" spans="1:7" x14ac:dyDescent="0.2">
      <c r="A16" s="2">
        <v>45848</v>
      </c>
      <c r="B16">
        <v>111000</v>
      </c>
      <c r="C16">
        <v>3340</v>
      </c>
      <c r="D16">
        <v>38</v>
      </c>
      <c r="E16">
        <v>1</v>
      </c>
      <c r="F16">
        <v>17.8</v>
      </c>
      <c r="G16">
        <v>2.48</v>
      </c>
    </row>
    <row r="17" spans="1:7" x14ac:dyDescent="0.2">
      <c r="A17" s="2">
        <v>45851</v>
      </c>
      <c r="B17">
        <v>121000</v>
      </c>
      <c r="C17">
        <v>3350</v>
      </c>
      <c r="D17">
        <v>38.9</v>
      </c>
      <c r="E17">
        <v>1</v>
      </c>
      <c r="F17">
        <v>17.8</v>
      </c>
      <c r="G1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Lyons, John: Absa</dc:creator>
  <cp:lastModifiedBy>Lyons, John: Absa</cp:lastModifiedBy>
  <dcterms:created xsi:type="dcterms:W3CDTF">2025-06-18T11:12:03Z</dcterms:created>
  <dcterms:modified xsi:type="dcterms:W3CDTF">2025-08-05T10:54:14Z</dcterms:modified>
</cp:coreProperties>
</file>