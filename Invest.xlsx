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hnlyons/Documents/Personal/DataScience/R/JL CTS scripts/"/>
    </mc:Choice>
  </mc:AlternateContent>
  <xr:revisionPtr revIDLastSave="0" documentId="13_ncr:1_{F677CB30-9098-FD43-9444-2A2253B862A0}" xr6:coauthVersionLast="36" xr6:coauthVersionMax="36" xr10:uidLastSave="{00000000-0000-0000-0000-000000000000}"/>
  <bookViews>
    <workbookView xWindow="2360" yWindow="2480" windowWidth="25120" windowHeight="19120" xr2:uid="{00000000-000D-0000-FFFF-FFFF00000000}"/>
  </bookViews>
  <sheets>
    <sheet name="Sheet0" sheetId="1" r:id="rId1"/>
  </sheets>
  <definedNames>
    <definedName name="_xlnm._FilterDatabase" localSheetId="0" hidden="1">Sheet0!$A$1:$IV$14</definedName>
  </definedNames>
  <calcPr calcId="181029"/>
  <fileRecoveryPr repairLoad="1"/>
</workbook>
</file>

<file path=xl/calcChain.xml><?xml version="1.0" encoding="utf-8"?>
<calcChain xmlns="http://schemas.openxmlformats.org/spreadsheetml/2006/main">
  <c r="L13" i="1" l="1"/>
  <c r="L14" i="1" l="1"/>
  <c r="L12" i="1" l="1"/>
  <c r="K13" i="1" l="1"/>
  <c r="M3" i="1" l="1"/>
</calcChain>
</file>

<file path=xl/sharedStrings.xml><?xml version="1.0" encoding="utf-8"?>
<sst xmlns="http://schemas.openxmlformats.org/spreadsheetml/2006/main" count="241" uniqueCount="96">
  <si>
    <t>Symbol</t>
  </si>
  <si>
    <t>Setup</t>
  </si>
  <si>
    <t>Highest price (optional)</t>
  </si>
  <si>
    <t>Lowest price (optional)</t>
  </si>
  <si>
    <t>Notes</t>
  </si>
  <si>
    <t>Entry Comments</t>
  </si>
  <si>
    <t>Trade Management</t>
  </si>
  <si>
    <t>Exit Comments</t>
  </si>
  <si>
    <t>Breakeven?</t>
  </si>
  <si>
    <t>Custom Stat 1</t>
  </si>
  <si>
    <t>Custom Stat 2</t>
  </si>
  <si>
    <t>Custom Stat 3</t>
  </si>
  <si>
    <t>Custom Stat 4</t>
  </si>
  <si>
    <t>Custom Stat 5</t>
  </si>
  <si>
    <t>Custom Stat 6</t>
  </si>
  <si>
    <t>Custom Stat 7</t>
  </si>
  <si>
    <t>Custom Stat 8</t>
  </si>
  <si>
    <t>Custom Stat 9</t>
  </si>
  <si>
    <t>Custom Stat 10</t>
  </si>
  <si>
    <t>Custom Stat 11</t>
  </si>
  <si>
    <t>Custom Stat 12</t>
  </si>
  <si>
    <t>Custom Stat 13</t>
  </si>
  <si>
    <t>Custom Stat 14</t>
  </si>
  <si>
    <t>Custom Stat 15</t>
  </si>
  <si>
    <t>Custom Stat 16</t>
  </si>
  <si>
    <t>Custom Stat 17</t>
  </si>
  <si>
    <t>Custom Stat 18</t>
  </si>
  <si>
    <t>Custom Stat 19</t>
  </si>
  <si>
    <t>Custom Stat 20</t>
  </si>
  <si>
    <t>BUY</t>
  </si>
  <si>
    <t>BTC</t>
  </si>
  <si>
    <t>Default Setup</t>
  </si>
  <si>
    <t>0.35</t>
  </si>
  <si>
    <t>93120.00000000</t>
  </si>
  <si>
    <t>104650.00000000</t>
  </si>
  <si>
    <t>4023.00000000</t>
  </si>
  <si>
    <t>0</t>
  </si>
  <si>
    <t/>
  </si>
  <si>
    <t>No</t>
  </si>
  <si>
    <t>0.14</t>
  </si>
  <si>
    <t>93805.00000000</t>
  </si>
  <si>
    <t>1560.00000000</t>
  </si>
  <si>
    <t>0.12</t>
  </si>
  <si>
    <t>103900.00000000</t>
  </si>
  <si>
    <t>105020.00000000</t>
  </si>
  <si>
    <t>128.00000000</t>
  </si>
  <si>
    <t>98600.00000000</t>
  </si>
  <si>
    <t>PAXG</t>
  </si>
  <si>
    <t>11.40</t>
  </si>
  <si>
    <t>3350.00000000</t>
  </si>
  <si>
    <t>3334.54385965</t>
  </si>
  <si>
    <t>-175.00000000</t>
  </si>
  <si>
    <t>3245.00000000</t>
  </si>
  <si>
    <t>0.20</t>
  </si>
  <si>
    <t>108000.00000000</t>
  </si>
  <si>
    <t>117272.00000000</t>
  </si>
  <si>
    <t>20.00000000</t>
  </si>
  <si>
    <t>1848.00000000</t>
  </si>
  <si>
    <t>103400.00000000</t>
  </si>
  <si>
    <t>0.15</t>
  </si>
  <si>
    <t>111095.00000000</t>
  </si>
  <si>
    <t>117200.00000000</t>
  </si>
  <si>
    <t>10.00000000</t>
  </si>
  <si>
    <t>865.00000000</t>
  </si>
  <si>
    <t>105000.00000000</t>
  </si>
  <si>
    <t>XRP</t>
  </si>
  <si>
    <t>1679.00</t>
  </si>
  <si>
    <t>2.79860000</t>
  </si>
  <si>
    <t>3.36000000</t>
  </si>
  <si>
    <t>940.00000000</t>
  </si>
  <si>
    <t>2.60300000</t>
  </si>
  <si>
    <t>4424.00</t>
  </si>
  <si>
    <t>2.94860000</t>
  </si>
  <si>
    <t>1820.00000000</t>
  </si>
  <si>
    <t>2.66340000</t>
  </si>
  <si>
    <t>ALGO</t>
  </si>
  <si>
    <t>17693.00</t>
  </si>
  <si>
    <t>0.31750000</t>
  </si>
  <si>
    <t>0.31500000</t>
  </si>
  <si>
    <t>-44.00000000</t>
  </si>
  <si>
    <t>0.26800000</t>
  </si>
  <si>
    <t>TrdOpen</t>
  </si>
  <si>
    <t>Type</t>
  </si>
  <si>
    <t>Size</t>
  </si>
  <si>
    <t>TrdClose</t>
  </si>
  <si>
    <t>OpenP</t>
  </si>
  <si>
    <t>CloseP</t>
  </si>
  <si>
    <t>Fees</t>
  </si>
  <si>
    <t>Profit</t>
  </si>
  <si>
    <t>StopLoss</t>
  </si>
  <si>
    <t>Allocation</t>
  </si>
  <si>
    <t>Investment</t>
  </si>
  <si>
    <t>Currency</t>
  </si>
  <si>
    <t>Usd</t>
  </si>
  <si>
    <t>Deposit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</si>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</sst>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3" x14ac:knownFonts="1">
    <font>
      <sz val="10"/>
      <name val="Arial"/>
    </font>
    <font>
      <b/>
      <sz val="10"/>
      <name val="Courier New"/>
      <family val="1"/>
    </font>
    <font>
      <sz val="10"/>
      <name val="Courier New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14" fontId="2" fillId="0" borderId="0" xfId="0" applyNumberFormat="1" applyFont="1"/>
    <xf numFmtId="2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 indent="1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5" fontId="1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O16"/>
  <sheetViews>
    <sheetView tabSelected="1" zoomScale="120" zoomScaleNormal="120" workbookViewId="0">
      <selection activeCell="K16" sqref="K16"/>
    </sheetView>
  </sheetViews>
  <sheetFormatPr baseColWidth="10" defaultRowHeight="14" x14ac:dyDescent="0.2"/>
  <cols>
    <col min="1" max="2" width="10.83203125" style="1"/>
    <col min="3" max="3" width="15" style="1" customWidth="1"/>
    <col min="4" max="6" width="8.83203125" style="1" customWidth="1"/>
    <col min="7" max="7" width="10.1640625" style="3" bestFit="1" customWidth="1"/>
    <col min="8" max="8" width="15" style="1" customWidth="1"/>
    <col min="9" max="9" width="17.6640625" style="4" customWidth="1"/>
    <col min="10" max="10" width="17.6640625" style="3" customWidth="1"/>
    <col min="11" max="11" width="8.83203125" style="1" customWidth="1"/>
    <col min="12" max="12" width="15.1640625" style="3" customWidth="1"/>
    <col min="13" max="13" width="15.33203125" style="10" customWidth="1"/>
    <col min="14" max="14" width="13.1640625" style="1" customWidth="1"/>
    <col min="15" max="15" width="11.6640625" style="1" customWidth="1"/>
    <col min="16" max="256" width="8.83203125" style="1" customWidth="1"/>
    <col min="257" max="16384" width="10.83203125" style="1"/>
  </cols>
  <sheetData>
    <row r="1" spans="1:41" s="8" customFormat="1" x14ac:dyDescent="0.2">
      <c r="A1" s="5" t="s">
        <v>90</v>
      </c>
      <c r="B1" s="5" t="s">
        <v>92</v>
      </c>
      <c r="C1" s="5" t="s">
        <v>81</v>
      </c>
      <c r="D1" s="5" t="s">
        <v>82</v>
      </c>
      <c r="E1" s="5" t="s">
        <v>0</v>
      </c>
      <c r="F1" s="5" t="s">
        <v>1</v>
      </c>
      <c r="G1" s="6" t="s">
        <v>83</v>
      </c>
      <c r="H1" s="5" t="s">
        <v>84</v>
      </c>
      <c r="I1" s="7" t="s">
        <v>85</v>
      </c>
      <c r="J1" s="6" t="s">
        <v>86</v>
      </c>
      <c r="K1" s="5" t="s">
        <v>87</v>
      </c>
      <c r="L1" s="6" t="s">
        <v>88</v>
      </c>
      <c r="M1" s="9" t="s">
        <v>89</v>
      </c>
      <c r="N1" s="5" t="s">
        <v>95</v>
      </c>
      <c r="O1" s="5" t="s">
        <v>2</v>
      </c>
      <c r="P1" s="5" t="s">
        <v>3</v>
      </c>
      <c r="Q1" s="5" t="s">
        <v>4</v>
      </c>
      <c r="R1" s="5" t="s">
        <v>5</v>
      </c>
      <c r="S1" s="5" t="s">
        <v>6</v>
      </c>
      <c r="T1" s="5" t="s">
        <v>7</v>
      </c>
      <c r="U1" s="5" t="s">
        <v>8</v>
      </c>
      <c r="V1" s="5" t="s">
        <v>9</v>
      </c>
      <c r="W1" s="5" t="s">
        <v>10</v>
      </c>
      <c r="X1" s="5" t="s">
        <v>11</v>
      </c>
      <c r="Y1" s="5" t="s">
        <v>12</v>
      </c>
      <c r="Z1" s="5" t="s">
        <v>13</v>
      </c>
      <c r="AA1" s="5" t="s">
        <v>14</v>
      </c>
      <c r="AB1" s="5" t="s">
        <v>15</v>
      </c>
      <c r="AC1" s="5" t="s">
        <v>16</v>
      </c>
      <c r="AD1" s="5" t="s">
        <v>17</v>
      </c>
      <c r="AE1" s="5" t="s">
        <v>18</v>
      </c>
      <c r="AF1" s="5" t="s">
        <v>19</v>
      </c>
      <c r="AG1" s="5" t="s">
        <v>20</v>
      </c>
      <c r="AH1" s="5" t="s">
        <v>21</v>
      </c>
      <c r="AI1" s="5" t="s">
        <v>22</v>
      </c>
      <c r="AJ1" s="5" t="s">
        <v>23</v>
      </c>
      <c r="AK1" s="5" t="s">
        <v>24</v>
      </c>
      <c r="AL1" s="5" t="s">
        <v>25</v>
      </c>
      <c r="AM1" s="5" t="s">
        <v>26</v>
      </c>
      <c r="AN1" s="5" t="s">
        <v>27</v>
      </c>
      <c r="AO1" s="5" t="s">
        <v>28</v>
      </c>
    </row>
    <row r="2" spans="1:41" hidden="1" x14ac:dyDescent="0.2">
      <c r="A2" s="1" t="s">
        <v>91</v>
      </c>
      <c r="B2" s="1" t="s">
        <v>93</v>
      </c>
      <c r="D2" s="1" t="s">
        <v>94</v>
      </c>
      <c r="H2" s="2">
        <v>45772</v>
      </c>
      <c r="N2" s="1">
        <v>132500</v>
      </c>
    </row>
    <row r="3" spans="1:41" hidden="1" x14ac:dyDescent="0.2">
      <c r="A3" s="1" t="s">
        <v>91</v>
      </c>
      <c r="B3" s="1" t="s">
        <v>93</v>
      </c>
      <c r="C3" s="2">
        <v>45772</v>
      </c>
      <c r="D3" s="1" t="s">
        <v>29</v>
      </c>
      <c r="E3" s="1" t="s">
        <v>30</v>
      </c>
      <c r="F3" s="1" t="s">
        <v>31</v>
      </c>
      <c r="G3" s="3" t="s">
        <v>32</v>
      </c>
      <c r="H3" s="2">
        <v>45816</v>
      </c>
      <c r="I3" s="4" t="s">
        <v>33</v>
      </c>
      <c r="J3" s="3" t="s">
        <v>34</v>
      </c>
      <c r="L3" s="3" t="s">
        <v>35</v>
      </c>
      <c r="M3" s="10">
        <f>93000*0.9</f>
        <v>83700</v>
      </c>
      <c r="N3" s="1" t="s">
        <v>36</v>
      </c>
      <c r="O3" s="1" t="s">
        <v>36</v>
      </c>
      <c r="P3" s="1" t="s">
        <v>36</v>
      </c>
      <c r="Q3" s="1" t="s">
        <v>37</v>
      </c>
      <c r="R3" s="1" t="s">
        <v>37</v>
      </c>
      <c r="S3" s="1" t="s">
        <v>37</v>
      </c>
      <c r="T3" s="1" t="s">
        <v>37</v>
      </c>
      <c r="U3" s="1" t="s">
        <v>37</v>
      </c>
      <c r="V3" s="1" t="s">
        <v>38</v>
      </c>
    </row>
    <row r="4" spans="1:41" hidden="1" x14ac:dyDescent="0.2">
      <c r="A4" s="1" t="s">
        <v>91</v>
      </c>
      <c r="B4" s="1" t="s">
        <v>93</v>
      </c>
      <c r="C4" s="2">
        <v>45775</v>
      </c>
      <c r="D4" s="1" t="s">
        <v>29</v>
      </c>
      <c r="E4" s="1" t="s">
        <v>30</v>
      </c>
      <c r="F4" s="1" t="s">
        <v>31</v>
      </c>
      <c r="G4" s="3" t="s">
        <v>39</v>
      </c>
      <c r="H4" s="2">
        <v>45816</v>
      </c>
      <c r="I4" s="4" t="s">
        <v>40</v>
      </c>
      <c r="J4" s="3" t="s">
        <v>34</v>
      </c>
      <c r="L4" s="3" t="s">
        <v>41</v>
      </c>
      <c r="M4" s="10">
        <v>83700</v>
      </c>
      <c r="N4" s="1" t="s">
        <v>36</v>
      </c>
      <c r="O4" s="1" t="s">
        <v>36</v>
      </c>
      <c r="P4" s="1" t="s">
        <v>36</v>
      </c>
      <c r="Q4" s="1" t="s">
        <v>37</v>
      </c>
      <c r="R4" s="1" t="s">
        <v>37</v>
      </c>
      <c r="S4" s="1" t="s">
        <v>37</v>
      </c>
      <c r="T4" s="1" t="s">
        <v>37</v>
      </c>
      <c r="U4" s="1" t="s">
        <v>37</v>
      </c>
      <c r="V4" s="1" t="s">
        <v>38</v>
      </c>
    </row>
    <row r="5" spans="1:41" hidden="1" x14ac:dyDescent="0.2">
      <c r="A5" s="1" t="s">
        <v>91</v>
      </c>
      <c r="B5" s="1" t="s">
        <v>93</v>
      </c>
      <c r="C5" s="2">
        <v>45788</v>
      </c>
      <c r="D5" s="1" t="s">
        <v>29</v>
      </c>
      <c r="E5" s="1" t="s">
        <v>30</v>
      </c>
      <c r="F5" s="1" t="s">
        <v>31</v>
      </c>
      <c r="G5" s="3" t="s">
        <v>42</v>
      </c>
      <c r="H5" s="2">
        <v>45816</v>
      </c>
      <c r="I5" s="4" t="s">
        <v>43</v>
      </c>
      <c r="J5" s="3" t="s">
        <v>44</v>
      </c>
      <c r="L5" s="3" t="s">
        <v>45</v>
      </c>
      <c r="M5" s="10" t="s">
        <v>46</v>
      </c>
      <c r="N5" s="1" t="s">
        <v>36</v>
      </c>
      <c r="O5" s="1" t="s">
        <v>36</v>
      </c>
      <c r="P5" s="1" t="s">
        <v>36</v>
      </c>
      <c r="Q5" s="1" t="s">
        <v>37</v>
      </c>
      <c r="R5" s="1" t="s">
        <v>37</v>
      </c>
      <c r="S5" s="1" t="s">
        <v>37</v>
      </c>
      <c r="T5" s="1" t="s">
        <v>37</v>
      </c>
      <c r="U5" s="1" t="s">
        <v>37</v>
      </c>
      <c r="V5" s="1" t="s">
        <v>38</v>
      </c>
    </row>
    <row r="6" spans="1:41" hidden="1" x14ac:dyDescent="0.2">
      <c r="A6" s="1" t="s">
        <v>91</v>
      </c>
      <c r="B6" s="1" t="s">
        <v>93</v>
      </c>
      <c r="C6" s="2">
        <v>45819</v>
      </c>
      <c r="D6" s="1" t="s">
        <v>29</v>
      </c>
      <c r="E6" s="1" t="s">
        <v>47</v>
      </c>
      <c r="F6" s="1" t="s">
        <v>31</v>
      </c>
      <c r="G6" s="3" t="s">
        <v>48</v>
      </c>
      <c r="H6" s="2">
        <v>45848</v>
      </c>
      <c r="I6" s="4" t="s">
        <v>49</v>
      </c>
      <c r="J6" s="3" t="s">
        <v>50</v>
      </c>
      <c r="L6" s="3" t="s">
        <v>51</v>
      </c>
      <c r="M6" s="10" t="s">
        <v>52</v>
      </c>
      <c r="N6" s="1" t="s">
        <v>36</v>
      </c>
      <c r="O6" s="1" t="s">
        <v>36</v>
      </c>
      <c r="P6" s="1" t="s">
        <v>36</v>
      </c>
      <c r="Q6" s="1" t="s">
        <v>37</v>
      </c>
      <c r="R6" s="1" t="s">
        <v>37</v>
      </c>
      <c r="S6" s="1" t="s">
        <v>37</v>
      </c>
      <c r="T6" s="1" t="s">
        <v>37</v>
      </c>
      <c r="U6" s="1" t="s">
        <v>37</v>
      </c>
      <c r="V6" s="1" t="s">
        <v>38</v>
      </c>
    </row>
    <row r="7" spans="1:41" hidden="1" x14ac:dyDescent="0.2">
      <c r="A7" s="1" t="s">
        <v>91</v>
      </c>
      <c r="B7" s="1" t="s">
        <v>93</v>
      </c>
      <c r="C7" s="2">
        <v>45844</v>
      </c>
      <c r="D7" s="1" t="s">
        <v>29</v>
      </c>
      <c r="E7" s="1" t="s">
        <v>30</v>
      </c>
      <c r="F7" s="1" t="s">
        <v>31</v>
      </c>
      <c r="G7" s="3" t="s">
        <v>53</v>
      </c>
      <c r="H7" s="2">
        <v>45856</v>
      </c>
      <c r="I7" s="4" t="s">
        <v>54</v>
      </c>
      <c r="J7" s="3" t="s">
        <v>55</v>
      </c>
      <c r="K7" s="1" t="s">
        <v>56</v>
      </c>
      <c r="L7" s="3" t="s">
        <v>57</v>
      </c>
      <c r="M7" s="10" t="s">
        <v>58</v>
      </c>
      <c r="N7" s="1" t="s">
        <v>36</v>
      </c>
      <c r="O7" s="1" t="s">
        <v>36</v>
      </c>
      <c r="P7" s="1" t="s">
        <v>36</v>
      </c>
      <c r="Q7" s="1" t="s">
        <v>37</v>
      </c>
      <c r="R7" s="1" t="s">
        <v>37</v>
      </c>
      <c r="S7" s="1" t="s">
        <v>37</v>
      </c>
      <c r="T7" s="1" t="s">
        <v>37</v>
      </c>
      <c r="U7" s="1" t="s">
        <v>37</v>
      </c>
      <c r="V7" s="1" t="s">
        <v>38</v>
      </c>
    </row>
    <row r="8" spans="1:41" hidden="1" x14ac:dyDescent="0.2">
      <c r="A8" s="1" t="s">
        <v>91</v>
      </c>
      <c r="B8" s="1" t="s">
        <v>93</v>
      </c>
      <c r="C8" s="2">
        <v>45848</v>
      </c>
      <c r="D8" s="1" t="s">
        <v>29</v>
      </c>
      <c r="E8" s="1" t="s">
        <v>30</v>
      </c>
      <c r="F8" s="1" t="s">
        <v>31</v>
      </c>
      <c r="G8" s="3" t="s">
        <v>59</v>
      </c>
      <c r="H8" s="2">
        <v>45856</v>
      </c>
      <c r="I8" s="4" t="s">
        <v>60</v>
      </c>
      <c r="J8" s="3" t="s">
        <v>61</v>
      </c>
      <c r="K8" s="1" t="s">
        <v>62</v>
      </c>
      <c r="L8" s="3" t="s">
        <v>63</v>
      </c>
      <c r="M8" s="10" t="s">
        <v>64</v>
      </c>
      <c r="N8" s="1" t="s">
        <v>36</v>
      </c>
      <c r="O8" s="1" t="s">
        <v>36</v>
      </c>
      <c r="P8" s="1" t="s">
        <v>36</v>
      </c>
      <c r="Q8" s="1" t="s">
        <v>37</v>
      </c>
      <c r="R8" s="1" t="s">
        <v>37</v>
      </c>
      <c r="S8" s="1" t="s">
        <v>37</v>
      </c>
      <c r="T8" s="1" t="s">
        <v>37</v>
      </c>
      <c r="U8" s="1" t="s">
        <v>37</v>
      </c>
      <c r="V8" s="1" t="s">
        <v>38</v>
      </c>
    </row>
    <row r="9" spans="1:41" x14ac:dyDescent="0.2">
      <c r="A9" s="1" t="s">
        <v>91</v>
      </c>
      <c r="B9" s="1" t="s">
        <v>93</v>
      </c>
      <c r="C9" s="2">
        <v>45851</v>
      </c>
      <c r="D9" s="1" t="s">
        <v>29</v>
      </c>
      <c r="E9" s="1" t="s">
        <v>65</v>
      </c>
      <c r="F9" s="1" t="s">
        <v>31</v>
      </c>
      <c r="G9" s="3" t="s">
        <v>66</v>
      </c>
      <c r="H9" s="2">
        <v>45855</v>
      </c>
      <c r="I9" s="4" t="s">
        <v>67</v>
      </c>
      <c r="J9" s="3" t="s">
        <v>68</v>
      </c>
      <c r="L9" s="3" t="s">
        <v>69</v>
      </c>
      <c r="M9" s="10" t="s">
        <v>70</v>
      </c>
      <c r="N9" s="1" t="s">
        <v>36</v>
      </c>
      <c r="O9" s="1" t="s">
        <v>36</v>
      </c>
      <c r="P9" s="1" t="s">
        <v>36</v>
      </c>
      <c r="Q9" s="1" t="s">
        <v>37</v>
      </c>
      <c r="R9" s="1" t="s">
        <v>37</v>
      </c>
      <c r="S9" s="1" t="s">
        <v>37</v>
      </c>
      <c r="T9" s="1" t="s">
        <v>37</v>
      </c>
      <c r="U9" s="1" t="s">
        <v>37</v>
      </c>
      <c r="V9" s="1" t="s">
        <v>38</v>
      </c>
    </row>
    <row r="10" spans="1:41" x14ac:dyDescent="0.2">
      <c r="A10" s="1" t="s">
        <v>91</v>
      </c>
      <c r="B10" s="1" t="s">
        <v>93</v>
      </c>
      <c r="C10" s="2">
        <v>45854</v>
      </c>
      <c r="D10" s="1" t="s">
        <v>29</v>
      </c>
      <c r="E10" s="1" t="s">
        <v>65</v>
      </c>
      <c r="F10" s="1" t="s">
        <v>31</v>
      </c>
      <c r="G10" s="3" t="s">
        <v>71</v>
      </c>
      <c r="H10" s="2">
        <v>45855</v>
      </c>
      <c r="I10" s="4" t="s">
        <v>72</v>
      </c>
      <c r="J10" s="3" t="s">
        <v>68</v>
      </c>
      <c r="L10" s="3" t="s">
        <v>73</v>
      </c>
      <c r="M10" s="10" t="s">
        <v>74</v>
      </c>
      <c r="N10" s="1" t="s">
        <v>36</v>
      </c>
      <c r="O10" s="1" t="s">
        <v>36</v>
      </c>
      <c r="P10" s="1" t="s">
        <v>36</v>
      </c>
      <c r="Q10" s="1" t="s">
        <v>37</v>
      </c>
      <c r="R10" s="1" t="s">
        <v>37</v>
      </c>
      <c r="S10" s="1" t="s">
        <v>37</v>
      </c>
      <c r="T10" s="1" t="s">
        <v>37</v>
      </c>
      <c r="U10" s="1" t="s">
        <v>37</v>
      </c>
      <c r="V10" s="1" t="s">
        <v>38</v>
      </c>
    </row>
    <row r="11" spans="1:41" hidden="1" x14ac:dyDescent="0.2">
      <c r="A11" s="1" t="s">
        <v>91</v>
      </c>
      <c r="B11" s="1" t="s">
        <v>93</v>
      </c>
      <c r="C11" s="2">
        <v>45855</v>
      </c>
      <c r="D11" s="1" t="s">
        <v>29</v>
      </c>
      <c r="E11" s="1" t="s">
        <v>75</v>
      </c>
      <c r="F11" s="1" t="s">
        <v>31</v>
      </c>
      <c r="G11" s="3" t="s">
        <v>76</v>
      </c>
      <c r="H11" s="2">
        <v>45856</v>
      </c>
      <c r="I11" s="4" t="s">
        <v>77</v>
      </c>
      <c r="J11" s="3" t="s">
        <v>78</v>
      </c>
      <c r="K11" s="1" t="s">
        <v>62</v>
      </c>
      <c r="L11" s="3" t="s">
        <v>79</v>
      </c>
      <c r="M11" s="10" t="s">
        <v>80</v>
      </c>
      <c r="N11" s="1" t="s">
        <v>36</v>
      </c>
      <c r="O11" s="1" t="s">
        <v>36</v>
      </c>
      <c r="P11" s="1" t="s">
        <v>36</v>
      </c>
      <c r="Q11" s="1" t="s">
        <v>37</v>
      </c>
      <c r="R11" s="1" t="s">
        <v>37</v>
      </c>
      <c r="S11" s="1" t="s">
        <v>37</v>
      </c>
      <c r="T11" s="1" t="s">
        <v>37</v>
      </c>
      <c r="U11" s="1" t="s">
        <v>37</v>
      </c>
      <c r="V11" s="1" t="s">
        <v>38</v>
      </c>
    </row>
    <row r="12" spans="1:41" x14ac:dyDescent="0.2">
      <c r="A12" s="1" t="s">
        <v>91</v>
      </c>
      <c r="B12" s="1" t="s">
        <v>93</v>
      </c>
      <c r="C12" s="2">
        <v>45858</v>
      </c>
      <c r="D12" s="1" t="s">
        <v>29</v>
      </c>
      <c r="E12" s="1" t="s">
        <v>65</v>
      </c>
      <c r="F12" s="1" t="s">
        <v>31</v>
      </c>
      <c r="G12" s="3">
        <v>5698</v>
      </c>
      <c r="H12" s="2">
        <v>45861</v>
      </c>
      <c r="I12" s="4">
        <v>3.5070000000000001</v>
      </c>
      <c r="J12" s="3">
        <v>3.3306</v>
      </c>
      <c r="K12" s="1">
        <v>50</v>
      </c>
      <c r="L12" s="3">
        <f>G12*(J12-I12)-K12</f>
        <v>-1055.1272000000006</v>
      </c>
      <c r="M12" s="10">
        <v>3.3264999999999998</v>
      </c>
    </row>
    <row r="13" spans="1:41" x14ac:dyDescent="0.2">
      <c r="A13" s="1" t="s">
        <v>91</v>
      </c>
      <c r="B13" s="1" t="s">
        <v>93</v>
      </c>
      <c r="C13" s="2">
        <v>45859</v>
      </c>
      <c r="D13" s="1" t="s">
        <v>29</v>
      </c>
      <c r="E13" s="1" t="s">
        <v>65</v>
      </c>
      <c r="F13" s="1" t="s">
        <v>31</v>
      </c>
      <c r="G13" s="3">
        <v>6000</v>
      </c>
      <c r="H13" s="2">
        <v>45894</v>
      </c>
      <c r="I13" s="4">
        <v>3.4449000000000001</v>
      </c>
      <c r="J13" s="3">
        <v>2.9952000000000001</v>
      </c>
      <c r="K13" s="1">
        <f>8*3.5</f>
        <v>28</v>
      </c>
      <c r="L13" s="3">
        <f>G13*(J13-I13)-K13</f>
        <v>-2726.2</v>
      </c>
      <c r="M13" s="10">
        <v>3.3361000000000001</v>
      </c>
    </row>
    <row r="14" spans="1:41" hidden="1" x14ac:dyDescent="0.2">
      <c r="A14" s="1" t="s">
        <v>91</v>
      </c>
      <c r="B14" s="1" t="s">
        <v>93</v>
      </c>
      <c r="C14" s="2">
        <v>45856</v>
      </c>
      <c r="D14" s="1" t="s">
        <v>29</v>
      </c>
      <c r="E14" s="1" t="s">
        <v>30</v>
      </c>
      <c r="F14" s="1" t="s">
        <v>31</v>
      </c>
      <c r="G14" s="3">
        <v>0.12459000000000001</v>
      </c>
      <c r="H14" s="2">
        <v>45863</v>
      </c>
      <c r="I14" s="4">
        <v>120383</v>
      </c>
      <c r="J14" s="3">
        <v>115350</v>
      </c>
      <c r="K14" s="1">
        <v>40</v>
      </c>
      <c r="L14" s="3">
        <f>G14*(J14-I14)-K14</f>
        <v>-667.06146999999999</v>
      </c>
      <c r="M14" s="10">
        <v>115240</v>
      </c>
    </row>
    <row r="15" spans="1:41" x14ac:dyDescent="0.2">
      <c r="A15" s="1" t="s">
        <v>91</v>
      </c>
      <c r="B15" s="1" t="s">
        <v>93</v>
      </c>
      <c r="C15" s="2">
        <v>45873</v>
      </c>
      <c r="D15" s="1" t="s">
        <v>29</v>
      </c>
      <c r="E15" s="1" t="s">
        <v>47</v>
      </c>
      <c r="F15" s="1" t="s">
        <v>31</v>
      </c>
      <c r="G15" s="3">
        <v>7.8993700000000002</v>
      </c>
      <c r="I15" s="4">
        <v>3374</v>
      </c>
      <c r="K15" s="1">
        <v>26.69</v>
      </c>
      <c r="M15" s="10">
        <v>3250</v>
      </c>
    </row>
    <row r="16" spans="1:41" x14ac:dyDescent="0.2">
      <c r="A16" s="1" t="s">
        <v>91</v>
      </c>
      <c r="B16" s="1" t="s">
        <v>93</v>
      </c>
      <c r="C16" s="2">
        <v>45874</v>
      </c>
      <c r="D16" s="1" t="s">
        <v>29</v>
      </c>
      <c r="E16" s="1" t="s">
        <v>47</v>
      </c>
      <c r="F16" s="1" t="s">
        <v>31</v>
      </c>
      <c r="G16" s="3">
        <v>5.7767999999999997</v>
      </c>
      <c r="I16" s="4">
        <v>3374</v>
      </c>
      <c r="K16" s="1">
        <v>19.489999999999998</v>
      </c>
      <c r="M16" s="10">
        <v>3250</v>
      </c>
    </row>
  </sheetData>
  <autoFilter ref="A1:IV14" xr:uid="{52C5F431-42E8-3B42-A23C-F398C2FAEADE}">
    <filterColumn colId="4">
      <filters>
        <filter val="XRP"/>
      </filters>
    </filterColumn>
  </autoFilter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Lyons, John: Absa</cp:lastModifiedBy>
  <dcterms:created xsi:type="dcterms:W3CDTF">2025-07-19T13:28:37Z</dcterms:created>
  <dcterms:modified xsi:type="dcterms:W3CDTF">2025-08-05T08:10:40Z</dcterms:modified>
</cp:coreProperties>
</file>